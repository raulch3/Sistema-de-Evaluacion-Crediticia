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xploit\Downloads\"/>
    </mc:Choice>
  </mc:AlternateContent>
  <xr:revisionPtr revIDLastSave="0" documentId="13_ncr:1_{E3D134CD-2422-4F33-8ADB-DC0B5311645D}" xr6:coauthVersionLast="47" xr6:coauthVersionMax="47" xr10:uidLastSave="{00000000-0000-0000-0000-000000000000}"/>
  <bookViews>
    <workbookView xWindow="-120" yWindow="-120" windowWidth="20730" windowHeight="11760" tabRatio="500" activeTab="2" xr2:uid="{00000000-000D-0000-FFFF-FFFF00000000}"/>
  </bookViews>
  <sheets>
    <sheet name="Datos" sheetId="1" r:id="rId1"/>
    <sheet name="Historial Crediticio" sheetId="2" r:id="rId2"/>
    <sheet name="Análisis General" sheetId="3" r:id="rId3"/>
    <sheet name="PARAMETROS" sheetId="4" state="hidden" r:id="rId4"/>
  </sheets>
  <definedNames>
    <definedName name="CreditosT">Datos!$B$22:$D$29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  <c r="C20" i="1"/>
  <c r="C19" i="1"/>
  <c r="B20" i="3" l="1" a="1"/>
  <c r="Q6" i="2"/>
  <c r="Q7" i="2"/>
  <c r="Q8" i="2"/>
  <c r="Q9" i="2"/>
  <c r="Q10" i="2"/>
  <c r="Q11" i="2"/>
  <c r="Q12" i="2"/>
  <c r="Q13" i="2"/>
  <c r="Q14" i="2"/>
  <c r="P7" i="2"/>
  <c r="P8" i="2"/>
  <c r="P9" i="2"/>
  <c r="P10" i="2"/>
  <c r="P11" i="2"/>
  <c r="P12" i="2"/>
  <c r="P13" i="2"/>
  <c r="P14" i="2"/>
  <c r="O8" i="2"/>
  <c r="O17" i="2" s="1"/>
  <c r="O7" i="2"/>
  <c r="O9" i="2"/>
  <c r="O10" i="2"/>
  <c r="O11" i="2"/>
  <c r="O12" i="2"/>
  <c r="O13" i="2"/>
  <c r="O14" i="2"/>
  <c r="H27" i="1" a="1"/>
  <c r="H27" i="1" s="1"/>
  <c r="I27" i="1" s="1"/>
  <c r="H17" i="1"/>
  <c r="H18" i="1"/>
  <c r="I18" i="1" s="1" a="1"/>
  <c r="I18" i="1" s="1"/>
  <c r="C15" i="3" s="1"/>
  <c r="G18" i="1"/>
  <c r="G17" i="1"/>
  <c r="H28" i="1" a="1"/>
  <c r="H28" i="1" s="1"/>
  <c r="I28" i="1" s="1"/>
  <c r="C30" i="1"/>
  <c r="H25" i="1" s="1"/>
  <c r="I25" i="1" s="1"/>
  <c r="G16" i="3"/>
  <c r="G15" i="3"/>
  <c r="G14" i="3"/>
  <c r="G13" i="3"/>
  <c r="C11" i="3"/>
  <c r="C8" i="3"/>
  <c r="C7" i="3"/>
  <c r="C6" i="3"/>
  <c r="C5" i="3"/>
  <c r="P6" i="2"/>
  <c r="O6" i="2"/>
  <c r="Q5" i="2"/>
  <c r="P5" i="2"/>
  <c r="O5" i="2"/>
  <c r="C14" i="1"/>
  <c r="C13" i="1"/>
  <c r="B20" i="3" l="1"/>
  <c r="C20" i="3" s="1"/>
  <c r="C21" i="3"/>
  <c r="C24" i="3"/>
  <c r="C23" i="3"/>
  <c r="C22" i="3"/>
  <c r="I17" i="1"/>
  <c r="C14" i="3" s="1"/>
  <c r="O18" i="2"/>
  <c r="O19" i="2"/>
  <c r="C31" i="1"/>
  <c r="H26" i="1" s="1"/>
  <c r="C12" i="3"/>
  <c r="H20" i="1" l="1"/>
  <c r="O21" i="2"/>
  <c r="G5" i="3" s="1"/>
  <c r="I26" i="1"/>
  <c r="C13" i="3"/>
  <c r="O22" i="2" l="1"/>
  <c r="G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<sst xmlns="http://schemas.openxmlformats.org/spreadsheetml/2006/main" count="163" uniqueCount="147">
  <si>
    <t>SISTEMA DE EVALUACIÓN CREDITICIA</t>
  </si>
  <si>
    <t>Módulo de Capacidad y Deducciones</t>
  </si>
  <si>
    <t xml:space="preserve">  👤  DATOS GENERALES DEL CLIENTE</t>
  </si>
  <si>
    <t>Nombre Completo</t>
  </si>
  <si>
    <t>Raul Cores</t>
  </si>
  <si>
    <t>Sexo</t>
  </si>
  <si>
    <t>Masculino</t>
  </si>
  <si>
    <t>Cédula</t>
  </si>
  <si>
    <t>Fecha de Nacimiento</t>
  </si>
  <si>
    <t>Tipo de Entidad</t>
  </si>
  <si>
    <t>Nombre de Empresa</t>
  </si>
  <si>
    <t>Fecha de Ingreso</t>
  </si>
  <si>
    <t>Sector Económico</t>
  </si>
  <si>
    <t>Años de Servicio (calculado)</t>
  </si>
  <si>
    <t>Años para Jubilación (62 años)</t>
  </si>
  <si>
    <t xml:space="preserve">  💰  CAPACIDAD Y DEDUCCIONES</t>
  </si>
  <si>
    <t>Concepto</t>
  </si>
  <si>
    <t>Monto (B/.)</t>
  </si>
  <si>
    <t>Tipo</t>
  </si>
  <si>
    <t>Ingreso Bruto Mensual</t>
  </si>
  <si>
    <t>Ingreso</t>
  </si>
  <si>
    <t>ISR</t>
  </si>
  <si>
    <t>Deducción</t>
  </si>
  <si>
    <t>ISS (Caja de Seguro)</t>
  </si>
  <si>
    <t>ISE (Seguro Educativo)</t>
  </si>
  <si>
    <t>TOTAL DEDUCCIONES</t>
  </si>
  <si>
    <t>INGRESO NETO MENSUAL</t>
  </si>
  <si>
    <t xml:space="preserve">  📐  RATIOS FINANCIEROS</t>
  </si>
  <si>
    <t>Indicador</t>
  </si>
  <si>
    <t>Valor</t>
  </si>
  <si>
    <t>Estado</t>
  </si>
  <si>
    <t>Ratio de Endeudamiento (Ded/Bruto)</t>
  </si>
  <si>
    <t>Liquidez (Neto/Bruto)</t>
  </si>
  <si>
    <t>Ahorro sobre Ingreso</t>
  </si>
  <si>
    <t>Deuda sobre Ingreso (DTI)</t>
  </si>
  <si>
    <t>HISTORIAL CREDITICIO — EVALUACIÓN DE 12 MESES</t>
  </si>
  <si>
    <t>Haga clic en las celdas de marca (1-9) para editar. 1=Al día … 9=Pérdida/Castigo</t>
  </si>
  <si>
    <t>Producto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</si>
  <si>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</si>
  <si>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</si>
  <si>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</si>
  <si>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</si>
  <si>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</si>
  <si>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</si>
  <si>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</si>
  <si>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</si>
  <si>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</si>
  <si>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</si>
  <si>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</si>
  <si>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</si>
  <si>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Peor Marca</t>
  </si>
  <si>
    <t>% Score Promedio</t>
  </si>
  <si>
    <t>Tend. Mejora</t>
  </si>
  <si>
    <t xml:space="preserve">  CÁLCULO DE SCORE GLOBAL CREDITICIO (Modelo Híbrido)</t>
  </si>
  <si>
    <t>Score Peor Marca Dominante  (peso 40%)</t>
  </si>
  <si>
    <t>Score Promedio Ponderado por Productos  (peso 35%)</t>
  </si>
  <si>
    <t>Score de Tendencia (últimos 3 vs primeros 3)  (peso 25%)</t>
  </si>
  <si>
    <t>🏆  SCORE GLOBAL CREDITICIO</t>
  </si>
  <si>
    <t>Clasificación</t>
  </si>
  <si>
    <t xml:space="preserve">  LEYENDA DE MARCAS APC</t>
  </si>
  <si>
    <t xml:space="preserve">  Marca 1</t>
  </si>
  <si>
    <t>Al día — Excelente</t>
  </si>
  <si>
    <t xml:space="preserve">  Marca 2</t>
  </si>
  <si>
    <t>1-30 días — Bueno</t>
  </si>
  <si>
    <t xml:space="preserve">  Marca 3</t>
  </si>
  <si>
    <t>31-60 días — Regular</t>
  </si>
  <si>
    <t xml:space="preserve">  Marca 4</t>
  </si>
  <si>
    <t>61-90 días — Deficiente</t>
  </si>
  <si>
    <t xml:space="preserve">  Marca 5</t>
  </si>
  <si>
    <t>91-120 días — Malo</t>
  </si>
  <si>
    <t xml:space="preserve">  Marca 6</t>
  </si>
  <si>
    <t>121-150 días — Muy Malo</t>
  </si>
  <si>
    <t xml:space="preserve">  Marca 7</t>
  </si>
  <si>
    <t>151-180 días — Crítico</t>
  </si>
  <si>
    <t xml:space="preserve">  Marca 8</t>
  </si>
  <si>
    <t>+180 días / Judicial — Pésimo</t>
  </si>
  <si>
    <t xml:space="preserve">  Marca 9</t>
  </si>
  <si>
    <t>Pérdida / Castigo — Sin Score</t>
  </si>
  <si>
    <t>ANÁLISIS GENERAL — CAPACIDAD LEGAL Y SEGURO DE PRÉSTAMO</t>
  </si>
  <si>
    <t>Todos los valores se vinculan automáticamente desde la hoja 'Datos'</t>
  </si>
  <si>
    <t xml:space="preserve">  RESUMEN DEL CLIENTE</t>
  </si>
  <si>
    <t>Nombre</t>
  </si>
  <si>
    <t>Empresa</t>
  </si>
  <si>
    <t xml:space="preserve">  CAPACIDAD LEGAL CREDITICIA</t>
  </si>
  <si>
    <t>Total Deducciones</t>
  </si>
  <si>
    <t>Ingreso Neto Mensual</t>
  </si>
  <si>
    <t xml:space="preserve">  🛡️  SEGURO DE PRÉSTAMO</t>
  </si>
  <si>
    <t>Monto Solicitado (B/.)</t>
  </si>
  <si>
    <t>Plazo (meses)</t>
  </si>
  <si>
    <t>Tasa Anual de Seguro</t>
  </si>
  <si>
    <t>Prima Mensual Calculada</t>
  </si>
  <si>
    <t>Prima a 2 años</t>
  </si>
  <si>
    <t>Prima Total (cancelación)</t>
  </si>
  <si>
    <t>Monto Total Asegurado</t>
  </si>
  <si>
    <t xml:space="preserve">  SCORE GLOBAL CREDITICIO</t>
  </si>
  <si>
    <t>Score Final</t>
  </si>
  <si>
    <t>TABLA DE CONVERSIÓN: MARCA APC → SCORE (0-100)</t>
  </si>
  <si>
    <t>Marca APC</t>
  </si>
  <si>
    <t>Score</t>
  </si>
  <si>
    <t>Días Atraso</t>
  </si>
  <si>
    <t>Descripción</t>
  </si>
  <si>
    <t>0 días</t>
  </si>
  <si>
    <t>1-30 días</t>
  </si>
  <si>
    <t>Leve atraso — Bueno</t>
  </si>
  <si>
    <t>31-60 días</t>
  </si>
  <si>
    <t>Moderado — Regular</t>
  </si>
  <si>
    <t>61-90 días</t>
  </si>
  <si>
    <t>Deficiente</t>
  </si>
  <si>
    <t>91-120 días</t>
  </si>
  <si>
    <t>Malo</t>
  </si>
  <si>
    <t>121-150 días</t>
  </si>
  <si>
    <t>Muy Malo</t>
  </si>
  <si>
    <t>151-180 días</t>
  </si>
  <si>
    <t>Crítico</t>
  </si>
  <si>
    <t>+180 días</t>
  </si>
  <si>
    <t>Cobro Judicial — Pésimo</t>
  </si>
  <si>
    <t>Castigo</t>
  </si>
  <si>
    <t>Pérdida / Sin Score</t>
  </si>
  <si>
    <t>PESOS DEL MODELO HÍBRIDO</t>
  </si>
  <si>
    <t>Peor Marca Dominante</t>
  </si>
  <si>
    <t>Penaliza duramente marcas 8 y 9</t>
  </si>
  <si>
    <t>Score Promedio Ponderado</t>
  </si>
  <si>
    <t>Promedio de score de los 12 meses</t>
  </si>
  <si>
    <t>Tendencia / Comportamiento</t>
  </si>
  <si>
    <t>Últimos 3 meses vs primeros 3</t>
  </si>
  <si>
    <t>Ahorro</t>
  </si>
  <si>
    <t>Préstamo</t>
  </si>
  <si>
    <t>Calculo de Capacidad legal</t>
  </si>
  <si>
    <t>Público</t>
  </si>
  <si>
    <t>Cantidad a utlizar para Préstamo</t>
  </si>
  <si>
    <t>Tarjeta de crédito</t>
  </si>
  <si>
    <t>Automovil</t>
  </si>
  <si>
    <t>Personal</t>
  </si>
  <si>
    <t>#2D6A4F</t>
  </si>
  <si>
    <t>#52B788</t>
  </si>
  <si>
    <t>#C9A84C</t>
  </si>
  <si>
    <t>#E07B39</t>
  </si>
  <si>
    <t>#C1440E</t>
  </si>
  <si>
    <t>#9B2226</t>
  </si>
  <si>
    <t>#6A0000</t>
  </si>
  <si>
    <t>#3A0000</t>
  </si>
  <si>
    <t>#1A0000</t>
  </si>
  <si>
    <t>Capacidad (75% Ahorros)</t>
  </si>
  <si>
    <t>Capacidad (35% Préstamo)</t>
  </si>
  <si>
    <t>0-0-0</t>
  </si>
  <si>
    <t>Total General de producto consumidos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</si>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</sst>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B/.&quot;#,##0.00;[Red]\-&quot;B/.&quot;#,##0.00"/>
    <numFmt numFmtId="44" formatCode="_-&quot;B/.&quot;* #,##0.00_-;\-&quot;B/.&quot;* #,##0.00_-;_-&quot;B/.&quot;* &quot;-&quot;??_-;_-@_-"/>
    <numFmt numFmtId="164" formatCode="dd/mm/yyyy"/>
    <numFmt numFmtId="165" formatCode="&quot;B/.&quot;#,##0.00"/>
    <numFmt numFmtId="166" formatCode="0.0%"/>
    <numFmt numFmtId="167" formatCode="0.0"/>
    <numFmt numFmtId="168" formatCode="0&quot; meses&quot;"/>
    <numFmt numFmtId="169" formatCode="0.000%"/>
  </numFmts>
  <fonts count="35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C9A84C"/>
      <name val="Calibri"/>
      <charset val="1"/>
    </font>
    <font>
      <b/>
      <sz val="10"/>
      <color rgb="FFFFFFFF"/>
      <name val="Calibri"/>
      <charset val="1"/>
    </font>
    <font>
      <b/>
      <sz val="9"/>
      <color rgb="FF6B6560"/>
      <name val="Calibri"/>
      <charset val="1"/>
    </font>
    <font>
      <b/>
      <sz val="11"/>
      <color rgb="FF0000FF"/>
      <name val="Calibri"/>
      <charset val="1"/>
    </font>
    <font>
      <sz val="11"/>
      <color rgb="FF000000"/>
      <name val="Calibri"/>
      <charset val="1"/>
    </font>
    <font>
      <b/>
      <sz val="9"/>
      <color rgb="FF2D6A4F"/>
      <name val="Calibri"/>
      <charset val="1"/>
    </font>
    <font>
      <b/>
      <sz val="9"/>
      <color rgb="FF9B2226"/>
      <name val="Calibri"/>
      <charset val="1"/>
    </font>
    <font>
      <b/>
      <sz val="11"/>
      <color rgb="FFFFFFFF"/>
      <name val="Calibri"/>
      <charset val="1"/>
    </font>
    <font>
      <b/>
      <sz val="11"/>
      <color rgb="FF0D1117"/>
      <name val="Calibri"/>
      <charset val="1"/>
    </font>
    <font>
      <sz val="10"/>
      <color rgb="FF0D1117"/>
      <name val="Calibri"/>
      <charset val="1"/>
    </font>
    <font>
      <b/>
      <sz val="11"/>
      <color rgb="FF000000"/>
      <name val="Calibri"/>
      <charset val="1"/>
    </font>
    <font>
      <sz val="9"/>
      <name val="Calibri"/>
      <charset val="1"/>
    </font>
    <font>
      <b/>
      <sz val="14"/>
      <color rgb="FFFFFFFF"/>
      <name val="Calibri"/>
      <charset val="1"/>
    </font>
    <font>
      <i/>
      <sz val="9"/>
      <color rgb="FFC9A84C"/>
      <name val="Calibri"/>
      <charset val="1"/>
    </font>
    <font>
      <b/>
      <sz val="9"/>
      <color rgb="FFFFFFFF"/>
      <name val="Calibri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0"/>
      <name val="Calibri"/>
      <charset val="1"/>
    </font>
    <font>
      <i/>
      <sz val="10"/>
      <color rgb="FF5A5550"/>
      <name val="Calibri"/>
      <charset val="1"/>
    </font>
    <font>
      <b/>
      <sz val="12"/>
      <color rgb="FF0D1117"/>
      <name val="Calibri"/>
      <charset val="1"/>
    </font>
    <font>
      <b/>
      <sz val="13"/>
      <color rgb="FFFFFFFF"/>
      <name val="Calibri"/>
      <charset val="1"/>
    </font>
    <font>
      <b/>
      <sz val="16"/>
      <color rgb="FFC9A84C"/>
      <name val="Calibri"/>
      <charset val="1"/>
    </font>
    <font>
      <b/>
      <sz val="10"/>
      <color rgb="FF5A5550"/>
      <name val="Calibri"/>
      <charset val="1"/>
    </font>
    <font>
      <sz val="11"/>
      <color rgb="FF0D1117"/>
      <name val="Calibri"/>
      <charset val="1"/>
    </font>
    <font>
      <sz val="11"/>
      <color rgb="FF0000FF"/>
      <name val="Calibri"/>
      <charset val="1"/>
    </font>
    <font>
      <b/>
      <sz val="12"/>
      <color rgb="FF5A5550"/>
      <name val="Calibri"/>
      <charset val="1"/>
    </font>
    <font>
      <b/>
      <sz val="20"/>
      <color rgb="FFC9A84C"/>
      <name val="Calibri"/>
      <charset val="1"/>
    </font>
    <font>
      <sz val="10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1D3557"/>
      <name val="Calibri"/>
      <charset val="1"/>
    </font>
    <font>
      <i/>
      <sz val="9"/>
      <color rgb="FF6B6560"/>
      <name val="Calibri"/>
      <charset val="1"/>
    </font>
    <font>
      <b/>
      <sz val="9"/>
      <color rgb="FF6B6560"/>
      <name val="Calibri"/>
      <family val="2"/>
    </font>
    <font>
      <b/>
      <sz val="11"/>
      <color rgb="FF0000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F8F5F0"/>
        <bgColor rgb="FFF9F9F9"/>
      </patternFill>
    </fill>
    <fill>
      <patternFill patternType="solid">
        <fgColor rgb="FFD8F0E4"/>
        <bgColor rgb="FFD6E8F5"/>
      </patternFill>
    </fill>
    <fill>
      <patternFill patternType="solid">
        <fgColor rgb="FFD6E8F5"/>
        <bgColor rgb="FFD8F0E4"/>
      </patternFill>
    </fill>
    <fill>
      <patternFill patternType="solid">
        <fgColor rgb="FFF2F0EC"/>
        <bgColor rgb="FFEEEEEE"/>
      </patternFill>
    </fill>
    <fill>
      <patternFill patternType="solid">
        <fgColor rgb="FF9B2226"/>
        <bgColor rgb="FF993366"/>
      </patternFill>
    </fill>
    <fill>
      <patternFill patternType="solid">
        <fgColor rgb="FF2D6A4F"/>
        <bgColor rgb="FF5A5550"/>
      </patternFill>
    </fill>
    <fill>
      <patternFill patternType="solid">
        <fgColor rgb="FFC9A84C"/>
        <bgColor rgb="FFE07B39"/>
      </patternFill>
    </fill>
    <fill>
      <patternFill patternType="solid">
        <fgColor rgb="FFEDE9E1"/>
        <bgColor rgb="FFEEEEEE"/>
      </patternFill>
    </fill>
    <fill>
      <patternFill patternType="solid">
        <fgColor rgb="FF1D3557"/>
        <bgColor rgb="FF333399"/>
      </patternFill>
    </fill>
    <fill>
      <patternFill patternType="solid">
        <fgColor rgb="FF52B788"/>
        <bgColor rgb="FF33CCCC"/>
      </patternFill>
    </fill>
    <fill>
      <patternFill patternType="solid">
        <fgColor rgb="FFEEEEEE"/>
        <bgColor rgb="FFF2F0EC"/>
      </patternFill>
    </fill>
    <fill>
      <patternFill patternType="solid">
        <fgColor rgb="FFFFE5CC"/>
        <bgColor rgb="FFF5EDD0"/>
      </patternFill>
    </fill>
    <fill>
      <patternFill patternType="solid">
        <fgColor rgb="FFF5EDD0"/>
        <bgColor rgb="FFEDE9E1"/>
      </patternFill>
    </fill>
    <fill>
      <patternFill patternType="solid">
        <fgColor rgb="FFE07B39"/>
        <bgColor rgb="FFFF6600"/>
      </patternFill>
    </fill>
    <fill>
      <patternFill patternType="solid">
        <fgColor rgb="FFC1440E"/>
        <bgColor rgb="FF9B2226"/>
      </patternFill>
    </fill>
    <fill>
      <patternFill patternType="solid">
        <fgColor rgb="FF6A0000"/>
        <bgColor rgb="FF3A0000"/>
      </patternFill>
    </fill>
    <fill>
      <patternFill patternType="solid">
        <fgColor rgb="FF3A0000"/>
        <bgColor rgb="FF1A0000"/>
      </patternFill>
    </fill>
    <fill>
      <patternFill patternType="solid">
        <fgColor rgb="FF1A0000"/>
        <bgColor rgb="FF000000"/>
      </patternFill>
    </fill>
    <fill>
      <patternFill patternType="solid">
        <fgColor theme="4" tint="0.39997558519241921"/>
        <bgColor rgb="FFF9F9F9"/>
      </patternFill>
    </fill>
  </fills>
  <borders count="4">
    <border>
      <left/>
      <right/>
      <top/>
      <bottom/>
      <diagonal/>
    </border>
    <border>
      <left style="thin">
        <color rgb="FFD4CFC6"/>
      </left>
      <right style="thin">
        <color rgb="FFD4CFC6"/>
      </right>
      <top style="thin">
        <color rgb="FFD4CFC6"/>
      </top>
      <bottom style="thin">
        <color rgb="FFD4CFC6"/>
      </bottom>
      <diagonal/>
    </border>
    <border>
      <left/>
      <right/>
      <top/>
      <bottom style="thin">
        <color rgb="FFD4CFC6"/>
      </bottom>
      <diagonal/>
    </border>
    <border>
      <left style="thin">
        <color rgb="FFD4CFC6"/>
      </left>
      <right/>
      <top style="thin">
        <color rgb="FFD4CFC6"/>
      </top>
      <bottom style="thin">
        <color rgb="FFD4CFC6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3" fillId="7" borderId="0" xfId="0" applyFont="1" applyFill="1" applyAlignment="1">
      <alignment horizontal="left" vertical="center"/>
    </xf>
    <xf numFmtId="165" fontId="9" fillId="7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165" fontId="9" fillId="8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10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6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" fontId="9" fillId="8" borderId="1" xfId="0" applyNumberFormat="1" applyFont="1" applyFill="1" applyBorder="1" applyAlignment="1">
      <alignment horizontal="center" vertical="center"/>
    </xf>
    <xf numFmtId="1" fontId="9" fillId="12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7" fontId="21" fillId="14" borderId="1" xfId="0" applyNumberFormat="1" applyFont="1" applyFill="1" applyBorder="1" applyAlignment="1">
      <alignment horizontal="center" vertical="center"/>
    </xf>
    <xf numFmtId="167" fontId="21" fillId="5" borderId="1" xfId="0" applyNumberFormat="1" applyFont="1" applyFill="1" applyBorder="1" applyAlignment="1">
      <alignment horizontal="center" vertical="center"/>
    </xf>
    <xf numFmtId="167" fontId="21" fillId="4" borderId="1" xfId="0" applyNumberFormat="1" applyFont="1" applyFill="1" applyBorder="1" applyAlignment="1">
      <alignment horizontal="center" vertical="center"/>
    </xf>
    <xf numFmtId="167" fontId="23" fillId="2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4" fillId="0" borderId="0" xfId="0" applyFont="1"/>
    <xf numFmtId="0" fontId="25" fillId="3" borderId="2" xfId="0" applyFont="1" applyFill="1" applyBorder="1"/>
    <xf numFmtId="164" fontId="25" fillId="3" borderId="2" xfId="0" applyNumberFormat="1" applyFont="1" applyFill="1" applyBorder="1"/>
    <xf numFmtId="165" fontId="12" fillId="3" borderId="2" xfId="0" applyNumberFormat="1" applyFont="1" applyFill="1" applyBorder="1"/>
    <xf numFmtId="165" fontId="12" fillId="4" borderId="2" xfId="0" applyNumberFormat="1" applyFont="1" applyFill="1" applyBorder="1"/>
    <xf numFmtId="165" fontId="26" fillId="3" borderId="2" xfId="0" applyNumberFormat="1" applyFont="1" applyFill="1" applyBorder="1"/>
    <xf numFmtId="168" fontId="26" fillId="3" borderId="2" xfId="0" applyNumberFormat="1" applyFont="1" applyFill="1" applyBorder="1"/>
    <xf numFmtId="169" fontId="26" fillId="3" borderId="2" xfId="0" applyNumberFormat="1" applyFont="1" applyFill="1" applyBorder="1"/>
    <xf numFmtId="165" fontId="21" fillId="5" borderId="2" xfId="0" applyNumberFormat="1" applyFont="1" applyFill="1" applyBorder="1"/>
    <xf numFmtId="0" fontId="27" fillId="0" borderId="0" xfId="0" applyFont="1"/>
    <xf numFmtId="167" fontId="28" fillId="2" borderId="1" xfId="0" applyNumberFormat="1" applyFont="1" applyFill="1" applyBorder="1" applyAlignment="1">
      <alignment horizontal="center" vertical="center"/>
    </xf>
    <xf numFmtId="0" fontId="24" fillId="0" borderId="0" xfId="0" applyFont="1"/>
    <xf numFmtId="0" fontId="18" fillId="15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17" fillId="0" borderId="1" xfId="0" applyFont="1" applyBorder="1"/>
    <xf numFmtId="9" fontId="31" fillId="5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5" fillId="21" borderId="2" xfId="0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right" vertical="center"/>
    </xf>
    <xf numFmtId="165" fontId="12" fillId="4" borderId="0" xfId="0" applyNumberFormat="1" applyFont="1" applyFill="1"/>
    <xf numFmtId="0" fontId="33" fillId="0" borderId="0" xfId="0" applyFont="1"/>
    <xf numFmtId="0" fontId="34" fillId="3" borderId="2" xfId="0" applyFont="1" applyFill="1" applyBorder="1" applyAlignment="1">
      <alignment horizontal="left" vertical="center"/>
    </xf>
    <xf numFmtId="8" fontId="5" fillId="3" borderId="2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2" fillId="0" borderId="3" xfId="0" applyFont="1" applyBorder="1"/>
  </cellXfs>
  <cellStyles count="1">
    <cellStyle name="Normal" xfId="0" builtinId="0"/>
  </cellStyles>
  <dxfs count="9">
    <dxf>
      <font>
        <color theme="0"/>
      </font>
      <fill>
        <patternFill>
          <bgColor rgb="FF1A7A3C"/>
        </patternFill>
      </fill>
    </dxf>
    <dxf>
      <font>
        <color theme="0"/>
      </font>
      <fill>
        <patternFill>
          <bgColor rgb="FF52B788"/>
        </patternFill>
      </fill>
    </dxf>
    <dxf>
      <font>
        <color theme="0"/>
      </font>
      <fill>
        <patternFill>
          <bgColor rgb="FFC9A84C"/>
        </patternFill>
      </fill>
    </dxf>
    <dxf>
      <font>
        <color theme="0"/>
      </font>
      <fill>
        <patternFill>
          <bgColor rgb="FFE07B39"/>
        </patternFill>
      </fill>
    </dxf>
    <dxf>
      <font>
        <color theme="0"/>
      </font>
      <fill>
        <patternFill>
          <bgColor rgb="FFC1440E"/>
        </patternFill>
      </fill>
    </dxf>
    <dxf>
      <font>
        <color theme="0"/>
      </font>
      <fill>
        <patternFill>
          <bgColor rgb="FF9B2226"/>
        </patternFill>
      </fill>
    </dxf>
    <dxf>
      <font>
        <color theme="0"/>
      </font>
      <fill>
        <patternFill>
          <bgColor rgb="FF6A0000"/>
        </patternFill>
      </fill>
    </dxf>
    <dxf>
      <font>
        <color theme="0"/>
      </font>
      <fill>
        <patternFill>
          <bgColor rgb="FF1A0000"/>
        </patternFill>
      </fill>
    </dxf>
    <dxf>
      <font>
        <color theme="0"/>
      </font>
      <fill>
        <patternFill>
          <bgColor rgb="FF3A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A0000"/>
      <rgbColor rgb="FF008000"/>
      <rgbColor rgb="FF000080"/>
      <rgbColor rgb="FF808000"/>
      <rgbColor rgb="FF800080"/>
      <rgbColor rgb="FF2D6A4F"/>
      <rgbColor rgb="FFD4CFC6"/>
      <rgbColor rgb="FF878787"/>
      <rgbColor rgb="FF9999FF"/>
      <rgbColor rgb="FFC1440E"/>
      <rgbColor rgb="FFF8F5F0"/>
      <rgbColor rgb="FFD6E8F5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3A0000"/>
      <rgbColor rgb="FF008080"/>
      <rgbColor rgb="FF0000FF"/>
      <rgbColor rgb="FF00CCFF"/>
      <rgbColor rgb="FFEEEEEE"/>
      <rgbColor rgb="FFD8F0E4"/>
      <rgbColor rgb="FFF5EDD0"/>
      <rgbColor rgb="FFEDE9E1"/>
      <rgbColor rgb="FFF2F0EC"/>
      <rgbColor rgb="FFF9F9F9"/>
      <rgbColor rgb="FFFFE5CC"/>
      <rgbColor rgb="FF4F81BD"/>
      <rgbColor rgb="FF33CCCC"/>
      <rgbColor rgb="FF99CC00"/>
      <rgbColor rgb="FFFFCC00"/>
      <rgbColor rgb="FFFF9900"/>
      <rgbColor rgb="FFFF6600"/>
      <rgbColor rgb="FF6B6560"/>
      <rgbColor rgb="FFC9A84C"/>
      <rgbColor rgb="FF1D3557"/>
      <rgbColor rgb="FF52B788"/>
      <rgbColor rgb="FF0D1117"/>
      <rgbColor rgb="FF1A0000"/>
      <rgbColor rgb="FF9B2226"/>
      <rgbColor rgb="FF993366"/>
      <rgbColor rgb="FF333399"/>
      <rgbColor rgb="FF5A55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A0000"/>
      <color rgb="FF1A0000"/>
      <color rgb="FF6A0000"/>
      <color rgb="FF9B2226"/>
      <color rgb="FFC1440E"/>
      <color rgb="FFE07B39"/>
      <color rgb="FFC9A84C"/>
      <color rgb="FF52B788"/>
      <color rgb="FF2E9E52"/>
      <color rgb="FF1A7A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Total</a:t>
            </a:r>
            <a:r>
              <a:rPr lang="es-PA" baseline="0"/>
              <a:t> de General de Deducciones</a:t>
            </a:r>
            <a:endParaRPr lang="es-P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'Análisis General'!$B$19:$B$24</c15:sqref>
                  </c15:fullRef>
                </c:ext>
              </c:extLst>
              <c:f>'Análisis General'!$B$20:$B$24</c:f>
              <c:strCache>
                <c:ptCount val="5"/>
                <c:pt idx="0">
                  <c:v>ISR</c:v>
                </c:pt>
                <c:pt idx="1">
                  <c:v>ISS (Caja de Seguro)</c:v>
                </c:pt>
                <c:pt idx="2">
                  <c:v>ISE (Seguro Educativo)</c:v>
                </c:pt>
                <c:pt idx="3">
                  <c:v>Ahorro</c:v>
                </c:pt>
                <c:pt idx="4">
                  <c:v>Préstamo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General'!$C$19:$C$24</c15:sqref>
                  </c15:fullRef>
                </c:ext>
              </c:extLst>
              <c:f>'Análisis General'!$C$20:$C$24</c:f>
              <c:numCache>
                <c:formatCode>"B/."#,##0.00</c:formatCode>
                <c:ptCount val="5"/>
                <c:pt idx="0">
                  <c:v>450</c:v>
                </c:pt>
                <c:pt idx="1">
                  <c:v>292.5</c:v>
                </c:pt>
                <c:pt idx="2">
                  <c:v>37.5</c:v>
                </c:pt>
                <c:pt idx="3">
                  <c:v>1033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C-454F-B942-1930A26FF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104191"/>
        <c:axId val="629104671"/>
      </c:barChart>
      <c:catAx>
        <c:axId val="62910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629104671"/>
        <c:crosses val="autoZero"/>
        <c:auto val="1"/>
        <c:lblAlgn val="ctr"/>
        <c:lblOffset val="100"/>
        <c:noMultiLvlLbl val="0"/>
      </c:catAx>
      <c:valAx>
        <c:axId val="629104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62910419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19</xdr:row>
      <xdr:rowOff>238125</xdr:rowOff>
    </xdr:from>
    <xdr:to>
      <xdr:col>7</xdr:col>
      <xdr:colOff>419100</xdr:colOff>
      <xdr:row>29</xdr:row>
      <xdr:rowOff>219075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DE3FA0-E46D-0D4C-97EF-2183E12B5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1"/>
  <sheetViews>
    <sheetView showGridLines="0" topLeftCell="A13" zoomScaleNormal="100" workbookViewId="0">
      <selection activeCell="D27" sqref="D2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22" customWidth="1"/>
    <col min="4" max="4" width="18" customWidth="1"/>
    <col min="5" max="5" width="2" customWidth="1"/>
    <col min="7" max="7" width="30" bestFit="1" customWidth="1"/>
    <col min="8" max="8" width="10.5703125" bestFit="1" customWidth="1"/>
    <col min="9" max="9" width="17.140625" bestFit="1" customWidth="1"/>
    <col min="11" max="11" width="9.5703125" bestFit="1" customWidth="1"/>
  </cols>
  <sheetData>
    <row r="1" spans="2:9" ht="39.75" customHeight="1" x14ac:dyDescent="0.25">
      <c r="B1" s="78" t="s">
        <v>0</v>
      </c>
      <c r="C1" s="78"/>
      <c r="D1" s="78"/>
    </row>
    <row r="2" spans="2:9" ht="21.75" customHeight="1" x14ac:dyDescent="0.25">
      <c r="B2" s="79" t="s">
        <v>1</v>
      </c>
      <c r="C2" s="79"/>
      <c r="D2" s="79"/>
    </row>
    <row r="3" spans="2:9" ht="19.5" customHeight="1" x14ac:dyDescent="0.25"/>
    <row r="4" spans="2:9" ht="19.5" customHeight="1" x14ac:dyDescent="0.25">
      <c r="B4" s="80" t="s">
        <v>2</v>
      </c>
      <c r="C4" s="80"/>
      <c r="D4" s="80"/>
    </row>
    <row r="5" spans="2:9" ht="19.5" customHeight="1" x14ac:dyDescent="0.25">
      <c r="B5" s="1" t="s">
        <v>3</v>
      </c>
      <c r="C5" s="2" t="s">
        <v>4</v>
      </c>
    </row>
    <row r="6" spans="2:9" ht="19.5" customHeight="1" x14ac:dyDescent="0.25">
      <c r="B6" s="1" t="s">
        <v>5</v>
      </c>
      <c r="C6" s="2" t="s">
        <v>6</v>
      </c>
    </row>
    <row r="7" spans="2:9" ht="19.5" customHeight="1" x14ac:dyDescent="0.25">
      <c r="B7" s="1" t="s">
        <v>7</v>
      </c>
      <c r="C7" s="76" t="s">
        <v>144</v>
      </c>
    </row>
    <row r="8" spans="2:9" ht="19.5" customHeight="1" x14ac:dyDescent="0.25">
      <c r="B8" s="1" t="s">
        <v>8</v>
      </c>
      <c r="C8" s="3">
        <v>36869</v>
      </c>
    </row>
    <row r="9" spans="2:9" ht="19.5" customHeight="1" x14ac:dyDescent="0.25">
      <c r="B9" s="1" t="s">
        <v>9</v>
      </c>
      <c r="C9" s="72" t="s">
        <v>128</v>
      </c>
    </row>
    <row r="10" spans="2:9" ht="19.5" customHeight="1" x14ac:dyDescent="0.25">
      <c r="B10" s="1" t="s">
        <v>10</v>
      </c>
      <c r="C10" s="2" t="s">
        <v>146</v>
      </c>
    </row>
    <row r="11" spans="2:9" ht="19.5" customHeight="1" x14ac:dyDescent="0.25">
      <c r="B11" s="1" t="s">
        <v>11</v>
      </c>
      <c r="C11" s="3">
        <v>43431</v>
      </c>
    </row>
    <row r="12" spans="2:9" ht="19.5" customHeight="1" x14ac:dyDescent="0.25">
      <c r="B12" s="1" t="s">
        <v>12</v>
      </c>
      <c r="C12" s="2" t="s">
        <v>146</v>
      </c>
    </row>
    <row r="13" spans="2:9" ht="19.5" customHeight="1" x14ac:dyDescent="0.25">
      <c r="B13" s="1" t="s">
        <v>13</v>
      </c>
      <c r="C13" s="4" t="str">
        <f ca="1">DATEDIF(C11,TODAY(),"Y")&amp;" años y "&amp;DATEDIF(C11,TODAY(),"YM")&amp;" meses"</f>
        <v>7 años y 4 meses</v>
      </c>
    </row>
    <row r="14" spans="2:9" ht="19.5" customHeight="1" x14ac:dyDescent="0.25">
      <c r="B14" s="1" t="s">
        <v>14</v>
      </c>
      <c r="C14" s="5">
        <f ca="1">MAX(0, 62 - DATEDIF(C8,TODAY(),"Y"))</f>
        <v>37</v>
      </c>
    </row>
    <row r="15" spans="2:9" ht="19.5" customHeight="1" x14ac:dyDescent="0.25"/>
    <row r="16" spans="2:9" ht="19.5" customHeight="1" x14ac:dyDescent="0.25">
      <c r="B16" s="80" t="s">
        <v>15</v>
      </c>
      <c r="C16" s="80"/>
      <c r="D16" s="80"/>
      <c r="G16" s="80" t="s">
        <v>127</v>
      </c>
      <c r="H16" s="80"/>
      <c r="I16" s="80"/>
    </row>
    <row r="17" spans="2:11" ht="19.5" customHeight="1" x14ac:dyDescent="0.25">
      <c r="B17" s="6" t="s">
        <v>16</v>
      </c>
      <c r="C17" s="6" t="s">
        <v>17</v>
      </c>
      <c r="D17" s="6" t="s">
        <v>18</v>
      </c>
      <c r="G17" t="str">
        <f>IF(OR($C$9="Público",$C$9="CSS Empleado"),"Ahorro 75%","Ahorro 50%")</f>
        <v>Ahorro 75%</v>
      </c>
      <c r="H17" s="7">
        <f>IF(OR($C$9="Público",$C$9="CSS Empleado"),(C18*75%),(C18*50%))</f>
        <v>2250</v>
      </c>
      <c r="I17" s="73">
        <f>+H17-C30</f>
        <v>237</v>
      </c>
    </row>
    <row r="18" spans="2:11" ht="19.5" customHeight="1" x14ac:dyDescent="0.25">
      <c r="B18" s="1" t="s">
        <v>19</v>
      </c>
      <c r="C18" s="7">
        <v>3000</v>
      </c>
      <c r="D18" s="8" t="s">
        <v>20</v>
      </c>
      <c r="G18" t="str">
        <f>IF(OR($C$9="Público",$C$9="CSS Empleado"),"Préstamo 35%",IF(C9="Privada","Ahorro 20%",""))</f>
        <v>Préstamo 35%</v>
      </c>
      <c r="H18" s="7">
        <f>IF(OR($C$9="Público",$C$9="CSS Empleado"),(C18*35%),IF(C9="Privada",C18*20%,""))</f>
        <v>1050</v>
      </c>
      <c r="I18" s="73" cm="1">
        <f t="array" ref="I18">IFERROR(H18-(SUM(_xlfn.CHOOSECOLS(_xlfn._xlws.FILTER(B18:D29,B18:B29="Préstamo"),2))),"")</f>
        <v>850</v>
      </c>
      <c r="K18" s="71"/>
    </row>
    <row r="19" spans="2:11" ht="19.5" customHeight="1" x14ac:dyDescent="0.25">
      <c r="B19" s="1" t="s">
        <v>21</v>
      </c>
      <c r="C19" s="7">
        <f>IF((C18*13)&lt;11000,0,IF(AND((C18*13)&gt;11001,(C18*13)&lt;50000),C18*15%,18*25%))</f>
        <v>450</v>
      </c>
      <c r="D19" s="9" t="s">
        <v>22</v>
      </c>
    </row>
    <row r="20" spans="2:11" ht="19.5" customHeight="1" x14ac:dyDescent="0.25">
      <c r="B20" s="1" t="s">
        <v>23</v>
      </c>
      <c r="C20" s="7">
        <f>C18*9.75%</f>
        <v>292.5</v>
      </c>
      <c r="D20" s="9" t="s">
        <v>22</v>
      </c>
      <c r="G20" t="s">
        <v>129</v>
      </c>
      <c r="H20" s="77">
        <f>MIN(I17:I18)</f>
        <v>237</v>
      </c>
    </row>
    <row r="21" spans="2:11" ht="19.5" customHeight="1" x14ac:dyDescent="0.25">
      <c r="B21" s="1" t="s">
        <v>24</v>
      </c>
      <c r="C21" s="7">
        <f>C18*1.25%</f>
        <v>37.5</v>
      </c>
      <c r="D21" s="9" t="s">
        <v>22</v>
      </c>
    </row>
    <row r="22" spans="2:11" ht="19.5" customHeight="1" x14ac:dyDescent="0.25">
      <c r="B22" s="1" t="s">
        <v>125</v>
      </c>
      <c r="C22" s="7">
        <v>23</v>
      </c>
      <c r="D22" s="9" t="s">
        <v>22</v>
      </c>
    </row>
    <row r="23" spans="2:11" ht="19.5" customHeight="1" x14ac:dyDescent="0.25">
      <c r="B23" s="1" t="s">
        <v>126</v>
      </c>
      <c r="C23" s="7">
        <v>80</v>
      </c>
      <c r="D23" s="9" t="s">
        <v>22</v>
      </c>
      <c r="G23" s="80" t="s">
        <v>27</v>
      </c>
      <c r="H23" s="80"/>
      <c r="I23" s="80"/>
    </row>
    <row r="24" spans="2:11" ht="19.5" customHeight="1" x14ac:dyDescent="0.25">
      <c r="B24" s="1" t="s">
        <v>126</v>
      </c>
      <c r="C24" s="7">
        <v>120</v>
      </c>
      <c r="D24" s="9" t="s">
        <v>22</v>
      </c>
      <c r="G24" s="6" t="s">
        <v>28</v>
      </c>
      <c r="H24" s="6" t="s">
        <v>29</v>
      </c>
      <c r="I24" s="6" t="s">
        <v>30</v>
      </c>
    </row>
    <row r="25" spans="2:11" ht="19.5" customHeight="1" x14ac:dyDescent="0.25">
      <c r="B25" s="1" t="s">
        <v>125</v>
      </c>
      <c r="C25" s="7">
        <v>10</v>
      </c>
      <c r="D25" s="9" t="s">
        <v>22</v>
      </c>
      <c r="G25" s="15" t="s">
        <v>31</v>
      </c>
      <c r="H25" s="16">
        <f>C30/C18</f>
        <v>0.67100000000000004</v>
      </c>
      <c r="I25" s="17" t="str">
        <f>IF(H25&lt;0.5,"✅ Saludable (&lt;50%)","⚠️ Elevado (&gt;50%)")</f>
        <v>⚠️ Elevado (&gt;50%)</v>
      </c>
    </row>
    <row r="26" spans="2:11" ht="19.5" customHeight="1" x14ac:dyDescent="0.25">
      <c r="B26" s="1" t="s">
        <v>125</v>
      </c>
      <c r="C26" s="7">
        <v>1000</v>
      </c>
      <c r="D26" s="9"/>
      <c r="G26" s="15" t="s">
        <v>32</v>
      </c>
      <c r="H26" s="16">
        <f>C31/C18</f>
        <v>0.32900000000000001</v>
      </c>
      <c r="I26" s="17" t="str">
        <f>IF(H26&gt;0.3,"✅ Buena (&gt;30%)","⚠️ Ajustada (&lt;30%)")</f>
        <v>✅ Buena (&gt;30%)</v>
      </c>
    </row>
    <row r="27" spans="2:11" ht="19.5" customHeight="1" x14ac:dyDescent="0.25">
      <c r="B27" s="1"/>
      <c r="C27" s="7"/>
      <c r="D27" s="9"/>
      <c r="G27" s="15" t="s">
        <v>33</v>
      </c>
      <c r="H27" s="16" cm="1">
        <f t="array" ref="H27">SUM(_xlfn.CHOOSECOLS(_xlfn._xlws.FILTER(B18:D29,B18:B29="Ahorro"),2))/C18</f>
        <v>0.34433333333333332</v>
      </c>
      <c r="I27" s="17" t="str">
        <f>IF(H27&gt;0.05,"✅ Buen Ahorro (&gt;5%)","⚠️ Bajo Ahorro")</f>
        <v>✅ Buen Ahorro (&gt;5%)</v>
      </c>
    </row>
    <row r="28" spans="2:11" ht="19.5" customHeight="1" x14ac:dyDescent="0.25">
      <c r="B28" s="1"/>
      <c r="C28" s="7"/>
      <c r="D28" s="9"/>
      <c r="G28" s="15" t="s">
        <v>34</v>
      </c>
      <c r="H28" s="16" cm="1">
        <f t="array" ref="H28">SUM(_xlfn.CHOOSECOLS(_xlfn._xlws.FILTER(B18:D29,B18:B29="Préstamo"),2))/C18</f>
        <v>6.6666666666666666E-2</v>
      </c>
      <c r="I28" s="17" t="str">
        <f>IF(H28&lt;0.36,"✅ Aceptable (&lt;36%)","⚠️ Alto (&gt;36%)")</f>
        <v>✅ Aceptable (&lt;36%)</v>
      </c>
    </row>
    <row r="29" spans="2:11" ht="19.5" customHeight="1" x14ac:dyDescent="0.25">
      <c r="B29" s="1"/>
      <c r="C29" s="7"/>
      <c r="D29" s="9"/>
    </row>
    <row r="30" spans="2:11" ht="19.5" customHeight="1" x14ac:dyDescent="0.25">
      <c r="B30" s="10" t="s">
        <v>25</v>
      </c>
      <c r="C30" s="11">
        <f>SUM(C19:C29)</f>
        <v>2013</v>
      </c>
    </row>
    <row r="31" spans="2:11" ht="19.5" customHeight="1" x14ac:dyDescent="0.25">
      <c r="B31" s="12" t="s">
        <v>26</v>
      </c>
      <c r="C31" s="13">
        <f>C18-C30</f>
        <v>987</v>
      </c>
    </row>
    <row r="32" spans="2:11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</sheetData>
  <mergeCells count="6">
    <mergeCell ref="B1:D1"/>
    <mergeCell ref="B2:D2"/>
    <mergeCell ref="B4:D4"/>
    <mergeCell ref="B16:D16"/>
    <mergeCell ref="G23:I23"/>
    <mergeCell ref="G16:I16"/>
  </mergeCells>
  <dataValidations count="3">
    <dataValidation type="list" allowBlank="1" showInputMessage="1" showErrorMessage="1" sqref="B22:B29" xr:uid="{C9743502-98D5-4D26-B98A-B8E862F999A0}">
      <formula1>"Ahorro,Préstamo,Hipoteca,Embargo"</formula1>
    </dataValidation>
    <dataValidation type="list" allowBlank="1" showInputMessage="1" showErrorMessage="1" sqref="D19:D29" xr:uid="{56D36441-07AA-4173-A89E-BEA3672CCBE8}">
      <formula1>"Deducción"</formula1>
    </dataValidation>
    <dataValidation type="list" allowBlank="1" showInputMessage="1" showErrorMessage="1" sqref="C9" xr:uid="{5BF2D3BF-3109-42E0-900E-2502193B9C14}">
      <formula1>"Público,Privada,Jubilado,UP,UTP"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39"/>
  <sheetViews>
    <sheetView showGridLines="0" topLeftCell="A12" zoomScaleNormal="100" workbookViewId="0">
      <selection activeCell="I9" sqref="I9"/>
    </sheetView>
  </sheetViews>
  <sheetFormatPr baseColWidth="10" defaultColWidth="8.7109375" defaultRowHeight="15" x14ac:dyDescent="0.25"/>
  <cols>
    <col min="1" max="1" width="2" customWidth="1"/>
    <col min="2" max="2" width="24" customWidth="1"/>
    <col min="3" max="14" width="7" customWidth="1"/>
    <col min="15" max="15" width="25.140625" bestFit="1" customWidth="1"/>
    <col min="16" max="16" width="13.7109375" bestFit="1" customWidth="1"/>
    <col min="17" max="17" width="14" customWidth="1"/>
  </cols>
  <sheetData>
    <row r="1" spans="2:17" ht="37.5" customHeight="1" x14ac:dyDescent="0.25">
      <c r="B1" s="84" t="s">
        <v>35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2:17" ht="21.75" customHeight="1" x14ac:dyDescent="0.25">
      <c r="B2" s="85" t="s">
        <v>36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2:17" ht="21.75" customHeight="1" x14ac:dyDescent="0.25"/>
    <row r="4" spans="2:17" ht="21.75" customHeight="1" x14ac:dyDescent="0.25"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8" t="s">
        <v>42</v>
      </c>
      <c r="H4" s="18" t="s">
        <v>43</v>
      </c>
      <c r="I4" s="18" t="s">
        <v>44</v>
      </c>
      <c r="J4" s="18" t="s">
        <v>45</v>
      </c>
      <c r="K4" s="18" t="s">
        <v>46</v>
      </c>
      <c r="L4" s="18" t="s">
        <v>47</v>
      </c>
      <c r="M4" s="18" t="s">
        <v>48</v>
      </c>
      <c r="N4" s="18" t="s">
        <v>49</v>
      </c>
      <c r="O4" s="18" t="s">
        <v>50</v>
      </c>
      <c r="P4" s="18" t="s">
        <v>51</v>
      </c>
      <c r="Q4" s="18" t="s">
        <v>52</v>
      </c>
    </row>
    <row r="5" spans="2:17" ht="21.75" customHeight="1" x14ac:dyDescent="0.25">
      <c r="B5" s="19" t="s">
        <v>130</v>
      </c>
      <c r="C5" s="20">
        <v>1</v>
      </c>
      <c r="D5" s="20">
        <v>2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1">
        <v>2</v>
      </c>
      <c r="M5" s="20">
        <v>1</v>
      </c>
      <c r="N5" s="20">
        <v>1</v>
      </c>
      <c r="O5" s="22">
        <f>IF(MAX(C5:N5)=0,"—",MAX(C5:N5))</f>
        <v>2</v>
      </c>
      <c r="P5" s="23">
        <f>IF(COUNTA(C5:N5)=0,"—",AVERAGE(IFERROR(VLOOKUP(C5,PARAMETROS!$A$3:$B$11,2,FALSE()),0),IFERROR(VLOOKUP(D5,PARAMETROS!$A$3:$B$11,2,FALSE()),0),IFERROR(VLOOKUP(E5,PARAMETROS!$A$3:$B$11,2,FALSE()),0),IFERROR(VLOOKUP(F5,PARAMETROS!$A$3:$B$11,2,FALSE()),0),IFERROR(VLOOKUP(G5,PARAMETROS!$A$3:$B$11,2,FALSE()),0),IFERROR(VLOOKUP(H5,PARAMETROS!$A$3:$B$11,2,FALSE()),0),IFERROR(VLOOKUP(I5,PARAMETROS!$A$3:$B$11,2,FALSE()),0),IFERROR(VLOOKUP(J5,PARAMETROS!$A$3:$B$11,2,FALSE()),0),IFERROR(VLOOKUP(K5,PARAMETROS!$A$3:$B$11,2,FALSE()),0),IFERROR(VLOOKUP(L5,PARAMETROS!$A$3:$B$11,2,FALSE()),0),IFERROR(VLOOKUP(M5,PARAMETROS!$A$3:$B$11,2,FALSE()),0),IFERROR(VLOOKUP(N5,PARAMETROS!$A$3:$B$11,2,FALSE()),0)))</f>
        <v>96.666666666666671</v>
      </c>
      <c r="Q5" s="23">
        <f>IF(COUNTA(C5:N5)=0,"—",(AVERAGE(IFERROR(VLOOKUP(L5,PARAMETROS!$A$3:$B$11,2,0),0),IFERROR(VLOOKUP(M5,PARAMETROS!$A$3:$B$11,2,0),0),IFERROR(VLOOKUP(N5,PARAMETROS!$A$3:$B$11,2,0),0))/MAX(1,AVERAGE(IFERROR(VLOOKUP(C5,PARAMETROS!$A$3:$B$11,2,0),0),IFERROR(VLOOKUP(D5,PARAMETROS!$A$3:$B$11,2,0),0),IFERROR(VLOOKUP(E5,PARAMETROS!$A$3:$B$11,2,0),0)))*50+50))</f>
        <v>100</v>
      </c>
    </row>
    <row r="6" spans="2:17" ht="21.75" customHeight="1" x14ac:dyDescent="0.25">
      <c r="B6" s="19" t="s">
        <v>131</v>
      </c>
      <c r="C6" s="21">
        <v>1</v>
      </c>
      <c r="D6" s="21">
        <v>2</v>
      </c>
      <c r="E6" s="21">
        <v>1</v>
      </c>
      <c r="F6" s="20">
        <v>1</v>
      </c>
      <c r="G6" s="20">
        <v>1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2">
        <f>IF(MAX(C6:N6)=0,"—",MAX(C6:N6))</f>
        <v>2</v>
      </c>
      <c r="P6" s="23">
        <f>IF(COUNTA(C6:N6)=0,"—",AVERAGE(IFERROR(VLOOKUP(C6,PARAMETROS!$A$3:$B$11,2,FALSE()),0),IFERROR(VLOOKUP(D6,PARAMETROS!$A$3:$B$11,2,FALSE()),0),IFERROR(VLOOKUP(E6,PARAMETROS!$A$3:$B$11,2,FALSE()),0),IFERROR(VLOOKUP(F6,PARAMETROS!$A$3:$B$11,2,FALSE()),0),IFERROR(VLOOKUP(G6,PARAMETROS!$A$3:$B$11,2,FALSE()),0),IFERROR(VLOOKUP(H6,PARAMETROS!$A$3:$B$11,2,FALSE()),0),IFERROR(VLOOKUP(I6,PARAMETROS!$A$3:$B$11,2,FALSE()),0),IFERROR(VLOOKUP(J6,PARAMETROS!$A$3:$B$11,2,FALSE()),0),IFERROR(VLOOKUP(K6,PARAMETROS!$A$3:$B$11,2,FALSE()),0),IFERROR(VLOOKUP(L6,PARAMETROS!$A$3:$B$11,2,FALSE()),0),IFERROR(VLOOKUP(M6,PARAMETROS!$A$3:$B$11,2,FALSE()),0),IFERROR(VLOOKUP(N6,PARAMETROS!$A$3:$B$11,2,FALSE()),0)))</f>
        <v>98.333333333333329</v>
      </c>
      <c r="Q6" s="23">
        <f>IF(COUNTA(C6:N6)=0,"—",(AVERAGE(IFERROR(VLOOKUP(L6,PARAMETROS!$A$3:$B$11,2,0),0),IFERROR(VLOOKUP(M6,PARAMETROS!$A$3:$B$11,2,0),0),IFERROR(VLOOKUP(N6,PARAMETROS!$A$3:$B$11,2,0),0))/MAX(1,AVERAGE(IFERROR(VLOOKUP(C6,PARAMETROS!$A$3:$B$11,2,0),0),IFERROR(VLOOKUP(D6,PARAMETROS!$A$3:$B$11,2,0),0),IFERROR(VLOOKUP(E6,PARAMETROS!$A$3:$B$11,2,0),0)))*50+50))</f>
        <v>103.57142857142857</v>
      </c>
    </row>
    <row r="7" spans="2:17" ht="21.75" customHeight="1" x14ac:dyDescent="0.25">
      <c r="B7" s="19" t="s">
        <v>132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0">
        <v>1</v>
      </c>
      <c r="O7" s="22">
        <f t="shared" ref="O7:O14" si="0">IF(MAX(C7:N7)=0,"—",MAX(C7:N7))</f>
        <v>1</v>
      </c>
      <c r="P7" s="23">
        <f>IF(COUNTA(C7:N7)=0,"—",AVERAGE(IFERROR(VLOOKUP(C7,PARAMETROS!$A$3:$B$11,2,FALSE()),0),IFERROR(VLOOKUP(D7,PARAMETROS!$A$3:$B$11,2,FALSE()),0),IFERROR(VLOOKUP(E7,PARAMETROS!$A$3:$B$11,2,FALSE()),0),IFERROR(VLOOKUP(F7,PARAMETROS!$A$3:$B$11,2,FALSE()),0),IFERROR(VLOOKUP(G7,PARAMETROS!$A$3:$B$11,2,FALSE()),0),IFERROR(VLOOKUP(H7,PARAMETROS!$A$3:$B$11,2,FALSE()),0),IFERROR(VLOOKUP(I7,PARAMETROS!$A$3:$B$11,2,FALSE()),0),IFERROR(VLOOKUP(J7,PARAMETROS!$A$3:$B$11,2,FALSE()),0),IFERROR(VLOOKUP(K7,PARAMETROS!$A$3:$B$11,2,FALSE()),0),IFERROR(VLOOKUP(L7,PARAMETROS!$A$3:$B$11,2,FALSE()),0),IFERROR(VLOOKUP(M7,PARAMETROS!$A$3:$B$11,2,FALSE()),0),IFERROR(VLOOKUP(N7,PARAMETROS!$A$3:$B$11,2,FALSE()),0)))</f>
        <v>100</v>
      </c>
      <c r="Q7" s="23">
        <f>IF(COUNTA(C7:N7)=0,"—",(AVERAGE(IFERROR(VLOOKUP(L7,PARAMETROS!$A$3:$B$11,2,0),0),IFERROR(VLOOKUP(M7,PARAMETROS!$A$3:$B$11,2,0),0),IFERROR(VLOOKUP(N7,PARAMETROS!$A$3:$B$11,2,0),0))/MAX(1,AVERAGE(IFERROR(VLOOKUP(C7,PARAMETROS!$A$3:$B$11,2,0),0),IFERROR(VLOOKUP(D7,PARAMETROS!$A$3:$B$11,2,0),0),IFERROR(VLOOKUP(E7,PARAMETROS!$A$3:$B$11,2,0),0)))*50+50))</f>
        <v>100</v>
      </c>
    </row>
    <row r="8" spans="2:17" ht="21.75" customHeight="1" x14ac:dyDescent="0.25">
      <c r="B8" s="19" t="s">
        <v>132</v>
      </c>
      <c r="C8" s="24">
        <v>1</v>
      </c>
      <c r="D8" s="24">
        <v>1</v>
      </c>
      <c r="E8" s="24">
        <v>1</v>
      </c>
      <c r="F8" s="24">
        <v>1</v>
      </c>
      <c r="G8" s="24">
        <v>1</v>
      </c>
      <c r="H8" s="24">
        <v>9</v>
      </c>
      <c r="I8" s="24">
        <v>9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2">
        <f>IF(MAX(C8:N8)=0,"—",MAX(C8:N8))</f>
        <v>9</v>
      </c>
      <c r="P8" s="23">
        <f>IF(COUNTA(C8:N8)=0,"—",AVERAGE(IFERROR(VLOOKUP(C8,PARAMETROS!$A$3:$B$11,2,FALSE()),0),IFERROR(VLOOKUP(D8,PARAMETROS!$A$3:$B$11,2,FALSE()),0),IFERROR(VLOOKUP(E8,PARAMETROS!$A$3:$B$11,2,FALSE()),0),IFERROR(VLOOKUP(F8,PARAMETROS!$A$3:$B$11,2,FALSE()),0),IFERROR(VLOOKUP(G8,PARAMETROS!$A$3:$B$11,2,FALSE()),0),IFERROR(VLOOKUP(H8,PARAMETROS!$A$3:$B$11,2,FALSE()),0),IFERROR(VLOOKUP(I8,PARAMETROS!$A$3:$B$11,2,FALSE()),0),IFERROR(VLOOKUP(J8,PARAMETROS!$A$3:$B$11,2,FALSE()),0),IFERROR(VLOOKUP(K8,PARAMETROS!$A$3:$B$11,2,FALSE()),0),IFERROR(VLOOKUP(L8,PARAMETROS!$A$3:$B$11,2,FALSE()),0),IFERROR(VLOOKUP(M8,PARAMETROS!$A$3:$B$11,2,FALSE()),0),IFERROR(VLOOKUP(N8,PARAMETROS!$A$3:$B$11,2,FALSE()),0)))</f>
        <v>83.333333333333329</v>
      </c>
      <c r="Q8" s="23">
        <f>IF(COUNTA(C8:N8)=0,"—",(AVERAGE(IFERROR(VLOOKUP(L8,PARAMETROS!$A$3:$B$11,2,0),0),IFERROR(VLOOKUP(M8,PARAMETROS!$A$3:$B$11,2,0),0),IFERROR(VLOOKUP(N8,PARAMETROS!$A$3:$B$11,2,0),0))/MAX(1,AVERAGE(IFERROR(VLOOKUP(C8,PARAMETROS!$A$3:$B$11,2,0),0),IFERROR(VLOOKUP(D8,PARAMETROS!$A$3:$B$11,2,0),0),IFERROR(VLOOKUP(E8,PARAMETROS!$A$3:$B$11,2,0),0)))*50+50))</f>
        <v>100</v>
      </c>
    </row>
    <row r="9" spans="2:17" ht="21.75" customHeight="1" x14ac:dyDescent="0.25">
      <c r="B9" s="19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2" t="str">
        <f t="shared" si="0"/>
        <v>—</v>
      </c>
      <c r="P9" s="23" t="str">
        <f>IF(COUNTA(C9:N9)=0,"—",AVERAGE(IFERROR(VLOOKUP(C9,PARAMETROS!$A$3:$B$11,2,FALSE()),0),IFERROR(VLOOKUP(D9,PARAMETROS!$A$3:$B$11,2,FALSE()),0),IFERROR(VLOOKUP(E9,PARAMETROS!$A$3:$B$11,2,FALSE()),0),IFERROR(VLOOKUP(F9,PARAMETROS!$A$3:$B$11,2,FALSE()),0),IFERROR(VLOOKUP(G9,PARAMETROS!$A$3:$B$11,2,FALSE()),0),IFERROR(VLOOKUP(H9,PARAMETROS!$A$3:$B$11,2,FALSE()),0),IFERROR(VLOOKUP(I9,PARAMETROS!$A$3:$B$11,2,FALSE()),0),IFERROR(VLOOKUP(J9,PARAMETROS!$A$3:$B$11,2,FALSE()),0),IFERROR(VLOOKUP(K9,PARAMETROS!$A$3:$B$11,2,FALSE()),0),IFERROR(VLOOKUP(L9,PARAMETROS!$A$3:$B$11,2,FALSE()),0),IFERROR(VLOOKUP(M9,PARAMETROS!$A$3:$B$11,2,FALSE()),0),IFERROR(VLOOKUP(N9,PARAMETROS!$A$3:$B$11,2,FALSE()),0)))</f>
        <v>—</v>
      </c>
      <c r="Q9" s="23" t="str">
        <f>IF(COUNTA(C9:N9)=0,"—",(AVERAGE(IFERROR(VLOOKUP(L9,PARAMETROS!$A$3:$B$11,2,0),0),IFERROR(VLOOKUP(M9,PARAMETROS!$A$3:$B$11,2,0),0),IFERROR(VLOOKUP(N9,PARAMETROS!$A$3:$B$11,2,0),0))/MAX(1,AVERAGE(IFERROR(VLOOKUP(C9,PARAMETROS!$A$3:$B$11,2,0),0),IFERROR(VLOOKUP(D9,PARAMETROS!$A$3:$B$11,2,0),0),IFERROR(VLOOKUP(E9,PARAMETROS!$A$3:$B$11,2,0),0)))*50+50))</f>
        <v>—</v>
      </c>
    </row>
    <row r="10" spans="2:17" ht="21.75" customHeight="1" x14ac:dyDescent="0.25">
      <c r="B10" s="19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2" t="str">
        <f t="shared" si="0"/>
        <v>—</v>
      </c>
      <c r="P10" s="23" t="str">
        <f>IF(COUNTA(C10:N10)=0,"—",AVERAGE(IFERROR(VLOOKUP(C10,PARAMETROS!$A$3:$B$11,2,FALSE()),0),IFERROR(VLOOKUP(D10,PARAMETROS!$A$3:$B$11,2,FALSE()),0),IFERROR(VLOOKUP(E10,PARAMETROS!$A$3:$B$11,2,FALSE()),0),IFERROR(VLOOKUP(F10,PARAMETROS!$A$3:$B$11,2,FALSE()),0),IFERROR(VLOOKUP(G10,PARAMETROS!$A$3:$B$11,2,FALSE()),0),IFERROR(VLOOKUP(H10,PARAMETROS!$A$3:$B$11,2,FALSE()),0),IFERROR(VLOOKUP(I10,PARAMETROS!$A$3:$B$11,2,FALSE()),0),IFERROR(VLOOKUP(J10,PARAMETROS!$A$3:$B$11,2,FALSE()),0),IFERROR(VLOOKUP(K10,PARAMETROS!$A$3:$B$11,2,FALSE()),0),IFERROR(VLOOKUP(L10,PARAMETROS!$A$3:$B$11,2,FALSE()),0),IFERROR(VLOOKUP(M10,PARAMETROS!$A$3:$B$11,2,FALSE()),0),IFERROR(VLOOKUP(N10,PARAMETROS!$A$3:$B$11,2,FALSE()),0)))</f>
        <v>—</v>
      </c>
      <c r="Q10" s="23" t="str">
        <f>IF(COUNTA(C10:N10)=0,"—",(AVERAGE(IFERROR(VLOOKUP(L10,PARAMETROS!$A$3:$B$11,2,0),0),IFERROR(VLOOKUP(M10,PARAMETROS!$A$3:$B$11,2,0),0),IFERROR(VLOOKUP(N10,PARAMETROS!$A$3:$B$11,2,0),0))/MAX(1,AVERAGE(IFERROR(VLOOKUP(C10,PARAMETROS!$A$3:$B$11,2,0),0),IFERROR(VLOOKUP(D10,PARAMETROS!$A$3:$B$11,2,0),0),IFERROR(VLOOKUP(E10,PARAMETROS!$A$3:$B$11,2,0),0)))*50+50))</f>
        <v>—</v>
      </c>
    </row>
    <row r="11" spans="2:17" ht="21.75" customHeight="1" x14ac:dyDescent="0.25">
      <c r="B11" s="1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2" t="str">
        <f t="shared" si="0"/>
        <v>—</v>
      </c>
      <c r="P11" s="23" t="str">
        <f>IF(COUNTA(C11:N11)=0,"—",AVERAGE(IFERROR(VLOOKUP(C11,PARAMETROS!$A$3:$B$11,2,FALSE()),0),IFERROR(VLOOKUP(D11,PARAMETROS!$A$3:$B$11,2,FALSE()),0),IFERROR(VLOOKUP(E11,PARAMETROS!$A$3:$B$11,2,FALSE()),0),IFERROR(VLOOKUP(F11,PARAMETROS!$A$3:$B$11,2,FALSE()),0),IFERROR(VLOOKUP(G11,PARAMETROS!$A$3:$B$11,2,FALSE()),0),IFERROR(VLOOKUP(H11,PARAMETROS!$A$3:$B$11,2,FALSE()),0),IFERROR(VLOOKUP(I11,PARAMETROS!$A$3:$B$11,2,FALSE()),0),IFERROR(VLOOKUP(J11,PARAMETROS!$A$3:$B$11,2,FALSE()),0),IFERROR(VLOOKUP(K11,PARAMETROS!$A$3:$B$11,2,FALSE()),0),IFERROR(VLOOKUP(L11,PARAMETROS!$A$3:$B$11,2,FALSE()),0),IFERROR(VLOOKUP(M11,PARAMETROS!$A$3:$B$11,2,FALSE()),0),IFERROR(VLOOKUP(N11,PARAMETROS!$A$3:$B$11,2,FALSE()),0)))</f>
        <v>—</v>
      </c>
      <c r="Q11" s="23" t="str">
        <f>IF(COUNTA(C11:N11)=0,"—",(AVERAGE(IFERROR(VLOOKUP(L11,PARAMETROS!$A$3:$B$11,2,0),0),IFERROR(VLOOKUP(M11,PARAMETROS!$A$3:$B$11,2,0),0),IFERROR(VLOOKUP(N11,PARAMETROS!$A$3:$B$11,2,0),0))/MAX(1,AVERAGE(IFERROR(VLOOKUP(C11,PARAMETROS!$A$3:$B$11,2,0),0),IFERROR(VLOOKUP(D11,PARAMETROS!$A$3:$B$11,2,0),0),IFERROR(VLOOKUP(E11,PARAMETROS!$A$3:$B$11,2,0),0)))*50+50))</f>
        <v>—</v>
      </c>
    </row>
    <row r="12" spans="2:17" ht="21.75" customHeight="1" x14ac:dyDescent="0.25">
      <c r="B12" s="19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2" t="str">
        <f t="shared" si="0"/>
        <v>—</v>
      </c>
      <c r="P12" s="23" t="str">
        <f>IF(COUNTA(C12:N12)=0,"—",AVERAGE(IFERROR(VLOOKUP(C12,PARAMETROS!$A$3:$B$11,2,FALSE()),0),IFERROR(VLOOKUP(D12,PARAMETROS!$A$3:$B$11,2,FALSE()),0),IFERROR(VLOOKUP(E12,PARAMETROS!$A$3:$B$11,2,FALSE()),0),IFERROR(VLOOKUP(F12,PARAMETROS!$A$3:$B$11,2,FALSE()),0),IFERROR(VLOOKUP(G12,PARAMETROS!$A$3:$B$11,2,FALSE()),0),IFERROR(VLOOKUP(H12,PARAMETROS!$A$3:$B$11,2,FALSE()),0),IFERROR(VLOOKUP(I12,PARAMETROS!$A$3:$B$11,2,FALSE()),0),IFERROR(VLOOKUP(J12,PARAMETROS!$A$3:$B$11,2,FALSE()),0),IFERROR(VLOOKUP(K12,PARAMETROS!$A$3:$B$11,2,FALSE()),0),IFERROR(VLOOKUP(L12,PARAMETROS!$A$3:$B$11,2,FALSE()),0),IFERROR(VLOOKUP(M12,PARAMETROS!$A$3:$B$11,2,FALSE()),0),IFERROR(VLOOKUP(N12,PARAMETROS!$A$3:$B$11,2,FALSE()),0)))</f>
        <v>—</v>
      </c>
      <c r="Q12" s="23" t="str">
        <f>IF(COUNTA(C12:N12)=0,"—",(AVERAGE(IFERROR(VLOOKUP(L12,PARAMETROS!$A$3:$B$11,2,0),0),IFERROR(VLOOKUP(M12,PARAMETROS!$A$3:$B$11,2,0),0),IFERROR(VLOOKUP(N12,PARAMETROS!$A$3:$B$11,2,0),0))/MAX(1,AVERAGE(IFERROR(VLOOKUP(C12,PARAMETROS!$A$3:$B$11,2,0),0),IFERROR(VLOOKUP(D12,PARAMETROS!$A$3:$B$11,2,0),0),IFERROR(VLOOKUP(E12,PARAMETROS!$A$3:$B$11,2,0),0)))*50+50))</f>
        <v>—</v>
      </c>
    </row>
    <row r="13" spans="2:17" ht="21.75" customHeight="1" x14ac:dyDescent="0.25">
      <c r="B13" s="19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2" t="str">
        <f t="shared" si="0"/>
        <v>—</v>
      </c>
      <c r="P13" s="23" t="str">
        <f>IF(COUNTA(C13:N13)=0,"—",AVERAGE(IFERROR(VLOOKUP(C13,PARAMETROS!$A$3:$B$11,2,FALSE()),0),IFERROR(VLOOKUP(D13,PARAMETROS!$A$3:$B$11,2,FALSE()),0),IFERROR(VLOOKUP(E13,PARAMETROS!$A$3:$B$11,2,FALSE()),0),IFERROR(VLOOKUP(F13,PARAMETROS!$A$3:$B$11,2,FALSE()),0),IFERROR(VLOOKUP(G13,PARAMETROS!$A$3:$B$11,2,FALSE()),0),IFERROR(VLOOKUP(H13,PARAMETROS!$A$3:$B$11,2,FALSE()),0),IFERROR(VLOOKUP(I13,PARAMETROS!$A$3:$B$11,2,FALSE()),0),IFERROR(VLOOKUP(J13,PARAMETROS!$A$3:$B$11,2,FALSE()),0),IFERROR(VLOOKUP(K13,PARAMETROS!$A$3:$B$11,2,FALSE()),0),IFERROR(VLOOKUP(L13,PARAMETROS!$A$3:$B$11,2,FALSE()),0),IFERROR(VLOOKUP(M13,PARAMETROS!$A$3:$B$11,2,FALSE()),0),IFERROR(VLOOKUP(N13,PARAMETROS!$A$3:$B$11,2,FALSE()),0)))</f>
        <v>—</v>
      </c>
      <c r="Q13" s="23" t="str">
        <f>IF(COUNTA(C13:N13)=0,"—",(AVERAGE(IFERROR(VLOOKUP(L13,PARAMETROS!$A$3:$B$11,2,0),0),IFERROR(VLOOKUP(M13,PARAMETROS!$A$3:$B$11,2,0),0),IFERROR(VLOOKUP(N13,PARAMETROS!$A$3:$B$11,2,0),0))/MAX(1,AVERAGE(IFERROR(VLOOKUP(C13,PARAMETROS!$A$3:$B$11,2,0),0),IFERROR(VLOOKUP(D13,PARAMETROS!$A$3:$B$11,2,0),0),IFERROR(VLOOKUP(E13,PARAMETROS!$A$3:$B$11,2,0),0)))*50+50))</f>
        <v>—</v>
      </c>
    </row>
    <row r="14" spans="2:17" ht="21.75" customHeight="1" x14ac:dyDescent="0.25">
      <c r="B14" s="19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2" t="str">
        <f t="shared" si="0"/>
        <v>—</v>
      </c>
      <c r="P14" s="23" t="str">
        <f>IF(COUNTA(C14:N14)=0,"—",AVERAGE(IFERROR(VLOOKUP(C14,PARAMETROS!$A$3:$B$11,2,FALSE()),0),IFERROR(VLOOKUP(D14,PARAMETROS!$A$3:$B$11,2,FALSE()),0),IFERROR(VLOOKUP(E14,PARAMETROS!$A$3:$B$11,2,FALSE()),0),IFERROR(VLOOKUP(F14,PARAMETROS!$A$3:$B$11,2,FALSE()),0),IFERROR(VLOOKUP(G14,PARAMETROS!$A$3:$B$11,2,FALSE()),0),IFERROR(VLOOKUP(H14,PARAMETROS!$A$3:$B$11,2,FALSE()),0),IFERROR(VLOOKUP(I14,PARAMETROS!$A$3:$B$11,2,FALSE()),0),IFERROR(VLOOKUP(J14,PARAMETROS!$A$3:$B$11,2,FALSE()),0),IFERROR(VLOOKUP(K14,PARAMETROS!$A$3:$B$11,2,FALSE()),0),IFERROR(VLOOKUP(L14,PARAMETROS!$A$3:$B$11,2,FALSE()),0),IFERROR(VLOOKUP(M14,PARAMETROS!$A$3:$B$11,2,FALSE()),0),IFERROR(VLOOKUP(N14,PARAMETROS!$A$3:$B$11,2,FALSE()),0)))</f>
        <v>—</v>
      </c>
      <c r="Q14" s="23" t="str">
        <f>IF(COUNTA(C14:N14)=0,"—",(AVERAGE(IFERROR(VLOOKUP(L14,PARAMETROS!$A$3:$B$11,2,0),0),IFERROR(VLOOKUP(M14,PARAMETROS!$A$3:$B$11,2,0),0),IFERROR(VLOOKUP(N14,PARAMETROS!$A$3:$B$11,2,0),0))/MAX(1,AVERAGE(IFERROR(VLOOKUP(C14,PARAMETROS!$A$3:$B$11,2,0),0),IFERROR(VLOOKUP(D14,PARAMETROS!$A$3:$B$11,2,0),0),IFERROR(VLOOKUP(E14,PARAMETROS!$A$3:$B$11,2,0),0)))*50+50))</f>
        <v>—</v>
      </c>
    </row>
    <row r="15" spans="2:17" ht="21.75" customHeight="1" x14ac:dyDescent="0.25"/>
    <row r="16" spans="2:17" ht="21.75" customHeight="1" x14ac:dyDescent="0.25">
      <c r="B16" s="80" t="s">
        <v>53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spans="2:15" ht="21.75" customHeight="1" x14ac:dyDescent="0.25">
      <c r="B17" s="81" t="s">
        <v>54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25">
        <f>IFERROR(VLOOKUP(MAX(O5:O14),PARAMETROS!$A$3:$B$11,2,FALSE()),0)</f>
        <v>0</v>
      </c>
    </row>
    <row r="18" spans="2:15" ht="21.75" customHeight="1" x14ac:dyDescent="0.25">
      <c r="B18" s="81" t="s">
        <v>55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26">
        <f>IFERROR(AVERAGE(P5:P6),0)</f>
        <v>97.5</v>
      </c>
    </row>
    <row r="19" spans="2:15" ht="21.75" customHeight="1" x14ac:dyDescent="0.25">
      <c r="B19" s="81" t="s">
        <v>56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27">
        <f>IFERROR(AVERAGE(Q5:Q6),0)</f>
        <v>101.78571428571428</v>
      </c>
    </row>
    <row r="20" spans="2:15" ht="21.75" customHeight="1" x14ac:dyDescent="0.25"/>
    <row r="21" spans="2:15" ht="21.75" customHeight="1" x14ac:dyDescent="0.25">
      <c r="B21" s="82" t="s">
        <v>57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28">
        <f>O17*0.4 + O18*0.35 + O19*0.25</f>
        <v>59.571428571428569</v>
      </c>
    </row>
    <row r="22" spans="2:15" ht="21.75" customHeight="1" x14ac:dyDescent="0.25">
      <c r="B22" s="83" t="s">
        <v>58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29" t="str">
        <f>IF(O21&gt;=85,"✅ Excelente — Aprobado",IF(O21&gt;=70,"👍 Bueno — Aprobado con condiciones",IF(O21&gt;=50,"⚠️ Regular — Revisión requerida","❌ Riesgo Alto — No recomendado")))</f>
        <v>⚠️ Regular — Revisión requerida</v>
      </c>
    </row>
    <row r="23" spans="2:15" ht="21.75" customHeight="1" x14ac:dyDescent="0.25"/>
    <row r="24" spans="2:15" ht="21.75" customHeight="1" x14ac:dyDescent="0.25">
      <c r="B24" s="80" t="s">
        <v>59</v>
      </c>
      <c r="C24" s="80"/>
      <c r="D24" s="80"/>
      <c r="E24" s="80"/>
      <c r="F24" s="80"/>
      <c r="G24" s="80"/>
    </row>
    <row r="25" spans="2:15" ht="21.75" customHeight="1" x14ac:dyDescent="0.25">
      <c r="B25" s="12" t="s">
        <v>60</v>
      </c>
      <c r="C25" s="30" t="s">
        <v>61</v>
      </c>
      <c r="H25" t="s">
        <v>133</v>
      </c>
    </row>
    <row r="26" spans="2:15" ht="21.75" customHeight="1" x14ac:dyDescent="0.25">
      <c r="B26" s="31" t="s">
        <v>62</v>
      </c>
      <c r="C26" s="30" t="s">
        <v>63</v>
      </c>
      <c r="H26" t="s">
        <v>134</v>
      </c>
    </row>
    <row r="27" spans="2:15" ht="21.75" customHeight="1" x14ac:dyDescent="0.25">
      <c r="B27" s="14" t="s">
        <v>64</v>
      </c>
      <c r="C27" s="30" t="s">
        <v>65</v>
      </c>
      <c r="H27" t="s">
        <v>135</v>
      </c>
    </row>
    <row r="28" spans="2:15" ht="21.75" customHeight="1" x14ac:dyDescent="0.25">
      <c r="B28" s="32" t="s">
        <v>66</v>
      </c>
      <c r="C28" s="30" t="s">
        <v>67</v>
      </c>
      <c r="H28" t="s">
        <v>136</v>
      </c>
    </row>
    <row r="29" spans="2:15" ht="21.75" customHeight="1" x14ac:dyDescent="0.25">
      <c r="B29" s="33" t="s">
        <v>68</v>
      </c>
      <c r="C29" s="30" t="s">
        <v>69</v>
      </c>
      <c r="H29" t="s">
        <v>137</v>
      </c>
    </row>
    <row r="30" spans="2:15" ht="21.75" customHeight="1" x14ac:dyDescent="0.25">
      <c r="B30" s="10" t="s">
        <v>70</v>
      </c>
      <c r="C30" s="30" t="s">
        <v>71</v>
      </c>
      <c r="H30" t="s">
        <v>138</v>
      </c>
    </row>
    <row r="31" spans="2:15" ht="21.75" customHeight="1" x14ac:dyDescent="0.25">
      <c r="B31" s="34" t="s">
        <v>72</v>
      </c>
      <c r="C31" s="30" t="s">
        <v>73</v>
      </c>
      <c r="H31" t="s">
        <v>139</v>
      </c>
    </row>
    <row r="32" spans="2:15" ht="21.75" customHeight="1" x14ac:dyDescent="0.25">
      <c r="B32" s="35" t="s">
        <v>74</v>
      </c>
      <c r="C32" s="30" t="s">
        <v>75</v>
      </c>
      <c r="H32" t="s">
        <v>140</v>
      </c>
    </row>
    <row r="33" spans="2:8" ht="21.75" customHeight="1" x14ac:dyDescent="0.25">
      <c r="B33" s="36" t="s">
        <v>76</v>
      </c>
      <c r="C33" s="30" t="s">
        <v>77</v>
      </c>
      <c r="H33" t="s">
        <v>141</v>
      </c>
    </row>
    <row r="34" spans="2:8" ht="21.75" customHeight="1" x14ac:dyDescent="0.25"/>
    <row r="35" spans="2:8" ht="21.75" customHeight="1" x14ac:dyDescent="0.25"/>
    <row r="36" spans="2:8" ht="21.75" customHeight="1" x14ac:dyDescent="0.25"/>
    <row r="37" spans="2:8" ht="21.75" customHeight="1" x14ac:dyDescent="0.25"/>
    <row r="38" spans="2:8" ht="21.75" customHeight="1" x14ac:dyDescent="0.25"/>
    <row r="39" spans="2:8" ht="21.75" customHeight="1" x14ac:dyDescent="0.25"/>
  </sheetData>
  <mergeCells count="9">
    <mergeCell ref="B19:N19"/>
    <mergeCell ref="B21:N21"/>
    <mergeCell ref="B22:N22"/>
    <mergeCell ref="B24:G24"/>
    <mergeCell ref="B1:Q1"/>
    <mergeCell ref="B2:Q2"/>
    <mergeCell ref="B16:Q16"/>
    <mergeCell ref="B17:N17"/>
    <mergeCell ref="B18:N18"/>
  </mergeCells>
  <conditionalFormatting sqref="C5:N14">
    <cfRule type="cellIs" dxfId="8" priority="1" operator="equal">
      <formula>8</formula>
    </cfRule>
    <cfRule type="cellIs" dxfId="7" priority="2" operator="equal">
      <formula>9</formula>
    </cfRule>
    <cfRule type="cellIs" dxfId="6" priority="3" operator="equal">
      <formula>7</formula>
    </cfRule>
    <cfRule type="cellIs" dxfId="5" priority="4" operator="equal">
      <formula>6</formula>
    </cfRule>
    <cfRule type="cellIs" dxfId="4" priority="5" operator="equal">
      <formula>5</formula>
    </cfRule>
    <cfRule type="cellIs" dxfId="3" priority="6" operator="equal">
      <formula>4</formula>
    </cfRule>
    <cfRule type="cellIs" dxfId="2" priority="7" operator="equal">
      <formula>3</formula>
    </cfRule>
    <cfRule type="cellIs" dxfId="1" priority="8" operator="equal">
      <formula>2</formula>
    </cfRule>
    <cfRule type="cellIs" dxfId="0" priority="9" operator="equal">
      <formula>1</formula>
    </cfRule>
  </conditionalFormatting>
  <dataValidations count="1">
    <dataValidation type="list" allowBlank="1" showInputMessage="1" showErrorMessage="1" sqref="B5:B14" xr:uid="{1633B280-84EF-49F3-A6E9-38A97C8FB7F2}">
      <formula1>"Personal,Automovil,Tarjeta de crédito,Hipoteca"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40"/>
  <sheetViews>
    <sheetView showGridLines="0" tabSelected="1" zoomScaleNormal="100" workbookViewId="0">
      <selection activeCell="E12" sqref="E12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20" customWidth="1"/>
    <col min="4" max="4" width="2" customWidth="1"/>
    <col min="5" max="5" width="26" customWidth="1"/>
    <col min="6" max="6" width="19" bestFit="1" customWidth="1"/>
    <col min="7" max="7" width="25.140625" bestFit="1" customWidth="1"/>
  </cols>
  <sheetData>
    <row r="1" spans="2:9" ht="37.5" customHeight="1" x14ac:dyDescent="0.25">
      <c r="B1" s="84" t="s">
        <v>78</v>
      </c>
      <c r="C1" s="84"/>
      <c r="D1" s="84"/>
      <c r="E1" s="84"/>
      <c r="F1" s="84"/>
    </row>
    <row r="2" spans="2:9" ht="21.75" customHeight="1" x14ac:dyDescent="0.25">
      <c r="B2" s="85" t="s">
        <v>79</v>
      </c>
      <c r="C2" s="85"/>
      <c r="D2" s="85"/>
      <c r="E2" s="85"/>
      <c r="F2" s="85"/>
    </row>
    <row r="3" spans="2:9" ht="21.75" customHeight="1" x14ac:dyDescent="0.25"/>
    <row r="4" spans="2:9" ht="21.75" customHeight="1" x14ac:dyDescent="0.25">
      <c r="B4" s="80" t="s">
        <v>80</v>
      </c>
      <c r="C4" s="80"/>
      <c r="F4" s="80" t="s">
        <v>94</v>
      </c>
      <c r="G4" s="80"/>
      <c r="H4" s="80"/>
      <c r="I4" s="80"/>
    </row>
    <row r="5" spans="2:9" ht="21.75" customHeight="1" x14ac:dyDescent="0.25">
      <c r="B5" s="37" t="s">
        <v>81</v>
      </c>
      <c r="C5" s="38" t="str">
        <f>Datos!C5</f>
        <v>Raul Cores</v>
      </c>
      <c r="F5" s="46" t="s">
        <v>95</v>
      </c>
      <c r="G5" s="47">
        <f>'Historial Crediticio'!O21</f>
        <v>59.571428571428569</v>
      </c>
    </row>
    <row r="6" spans="2:9" ht="21.75" customHeight="1" x14ac:dyDescent="0.25">
      <c r="B6" s="37" t="s">
        <v>7</v>
      </c>
      <c r="C6" s="38" t="str">
        <f>Datos!C7</f>
        <v>0-0-0</v>
      </c>
      <c r="F6" s="48" t="s">
        <v>58</v>
      </c>
      <c r="G6" s="49" t="str">
        <f>'Historial Crediticio'!O22</f>
        <v>⚠️ Regular — Revisión requerida</v>
      </c>
    </row>
    <row r="7" spans="2:9" ht="21.75" customHeight="1" x14ac:dyDescent="0.25">
      <c r="B7" s="37" t="s">
        <v>82</v>
      </c>
      <c r="C7" s="38" t="str">
        <f>Datos!C10</f>
        <v>ABCDE</v>
      </c>
    </row>
    <row r="8" spans="2:9" ht="21.75" customHeight="1" x14ac:dyDescent="0.25">
      <c r="B8" s="37" t="s">
        <v>12</v>
      </c>
      <c r="C8" s="39">
        <f>Datos!C11</f>
        <v>43431</v>
      </c>
      <c r="F8" s="80" t="s">
        <v>86</v>
      </c>
      <c r="G8" s="80"/>
    </row>
    <row r="9" spans="2:9" ht="21.75" customHeight="1" x14ac:dyDescent="0.25">
      <c r="F9" s="37" t="s">
        <v>87</v>
      </c>
      <c r="G9" s="42">
        <v>10000</v>
      </c>
    </row>
    <row r="10" spans="2:9" ht="21.75" customHeight="1" x14ac:dyDescent="0.25">
      <c r="B10" s="80" t="s">
        <v>83</v>
      </c>
      <c r="C10" s="80"/>
      <c r="F10" s="37" t="s">
        <v>88</v>
      </c>
      <c r="G10" s="43">
        <v>60</v>
      </c>
    </row>
    <row r="11" spans="2:9" ht="21.75" customHeight="1" x14ac:dyDescent="0.25">
      <c r="B11" s="37" t="s">
        <v>19</v>
      </c>
      <c r="C11" s="40">
        <f>Datos!C18</f>
        <v>3000</v>
      </c>
      <c r="F11" s="37" t="s">
        <v>89</v>
      </c>
      <c r="G11" s="44">
        <v>2E-3</v>
      </c>
    </row>
    <row r="12" spans="2:9" ht="21.75" customHeight="1" x14ac:dyDescent="0.25">
      <c r="B12" s="37" t="s">
        <v>84</v>
      </c>
      <c r="C12" s="40">
        <f>Datos!C30</f>
        <v>2013</v>
      </c>
    </row>
    <row r="13" spans="2:9" ht="21.75" customHeight="1" x14ac:dyDescent="0.25">
      <c r="B13" s="37" t="s">
        <v>85</v>
      </c>
      <c r="C13" s="41">
        <f>Datos!C31</f>
        <v>987</v>
      </c>
      <c r="F13" s="37" t="s">
        <v>90</v>
      </c>
      <c r="G13" s="45">
        <f>G9*G11/12</f>
        <v>1.6666666666666667</v>
      </c>
    </row>
    <row r="14" spans="2:9" ht="21.75" customHeight="1" x14ac:dyDescent="0.25">
      <c r="B14" s="75" t="s">
        <v>142</v>
      </c>
      <c r="C14" s="41">
        <f>Datos!I17</f>
        <v>237</v>
      </c>
      <c r="F14" s="37" t="s">
        <v>91</v>
      </c>
      <c r="G14" s="45">
        <f>G9*G11/12*24</f>
        <v>40</v>
      </c>
    </row>
    <row r="15" spans="2:9" ht="21.75" customHeight="1" x14ac:dyDescent="0.25">
      <c r="B15" s="75" t="s">
        <v>143</v>
      </c>
      <c r="C15" s="74">
        <f>Datos!I18</f>
        <v>850</v>
      </c>
      <c r="F15" s="37" t="s">
        <v>92</v>
      </c>
      <c r="G15" s="45">
        <f>G9*G11/12*G10</f>
        <v>100</v>
      </c>
    </row>
    <row r="16" spans="2:9" ht="21.75" customHeight="1" x14ac:dyDescent="0.25">
      <c r="F16" s="37" t="s">
        <v>93</v>
      </c>
      <c r="G16" s="45">
        <f>G9</f>
        <v>10000</v>
      </c>
    </row>
    <row r="17" spans="2:3" ht="21.75" customHeight="1" x14ac:dyDescent="0.25"/>
    <row r="18" spans="2:3" ht="21.75" customHeight="1" x14ac:dyDescent="0.25"/>
    <row r="19" spans="2:3" ht="21.75" customHeight="1" x14ac:dyDescent="0.25">
      <c r="B19" s="80" t="s">
        <v>145</v>
      </c>
      <c r="C19" s="80"/>
    </row>
    <row r="20" spans="2:3" ht="21.75" customHeight="1" x14ac:dyDescent="0.25">
      <c r="B20" s="37" t="str" cm="1">
        <f t="array" ref="B20:B24">_xlfn.UNIQUE(_xlfn._xlws.FILTER(Datos!B19:B29,Datos!B19:B29&lt;&gt;""))</f>
        <v>ISR</v>
      </c>
      <c r="C20" s="45">
        <f ca="1">SUMIF(Datos!B19:B29,'Análisis General'!B20,Datos!C19:C25)</f>
        <v>450</v>
      </c>
    </row>
    <row r="21" spans="2:3" ht="21.75" customHeight="1" x14ac:dyDescent="0.25">
      <c r="B21" s="37" t="str">
        <v>ISS (Caja de Seguro)</v>
      </c>
      <c r="C21" s="45">
        <f ca="1">SUMIF(Datos!B20:B30,'Análisis General'!B21,Datos!C20:C26)</f>
        <v>292.5</v>
      </c>
    </row>
    <row r="22" spans="2:3" ht="21.75" customHeight="1" x14ac:dyDescent="0.25">
      <c r="B22" s="37" t="str">
        <v>ISE (Seguro Educativo)</v>
      </c>
      <c r="C22" s="45">
        <f ca="1">SUMIF(Datos!B21:B31,'Análisis General'!B22,Datos!C21:C27)</f>
        <v>37.5</v>
      </c>
    </row>
    <row r="23" spans="2:3" ht="21.75" customHeight="1" x14ac:dyDescent="0.25">
      <c r="B23" s="75" t="str">
        <v>Ahorro</v>
      </c>
      <c r="C23" s="45">
        <f ca="1">SUMIF(Datos!B22:B32,'Análisis General'!B23,Datos!C22:C28)</f>
        <v>1033</v>
      </c>
    </row>
    <row r="24" spans="2:3" ht="21.75" customHeight="1" x14ac:dyDescent="0.25">
      <c r="B24" s="75" t="str">
        <v>Préstamo</v>
      </c>
      <c r="C24" s="45">
        <f ca="1">SUMIF(Datos!B23:B33,'Análisis General'!B24,Datos!C23:C29)</f>
        <v>200</v>
      </c>
    </row>
    <row r="25" spans="2:3" ht="21.75" customHeight="1" x14ac:dyDescent="0.25"/>
    <row r="26" spans="2:3" ht="21.75" customHeight="1" x14ac:dyDescent="0.25"/>
    <row r="27" spans="2:3" ht="21.75" customHeight="1" x14ac:dyDescent="0.25"/>
    <row r="28" spans="2:3" ht="21.75" customHeight="1" x14ac:dyDescent="0.25"/>
    <row r="29" spans="2:3" ht="21.75" customHeight="1" x14ac:dyDescent="0.25"/>
    <row r="30" spans="2:3" ht="21.75" customHeight="1" x14ac:dyDescent="0.25"/>
    <row r="31" spans="2:3" ht="21.75" customHeight="1" x14ac:dyDescent="0.25"/>
    <row r="32" spans="2:3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</sheetData>
  <mergeCells count="7">
    <mergeCell ref="B19:C19"/>
    <mergeCell ref="F4:I4"/>
    <mergeCell ref="B1:F1"/>
    <mergeCell ref="B2:F2"/>
    <mergeCell ref="B4:C4"/>
    <mergeCell ref="B10:C10"/>
    <mergeCell ref="F8:G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zoomScaleNormal="100" workbookViewId="0">
      <selection activeCell="A10" sqref="A10"/>
    </sheetView>
  </sheetViews>
  <sheetFormatPr baseColWidth="10" defaultColWidth="8.7109375" defaultRowHeight="15" x14ac:dyDescent="0.25"/>
  <cols>
    <col min="1" max="1" width="24.42578125" bestFit="1" customWidth="1"/>
    <col min="2" max="2" width="16" customWidth="1"/>
    <col min="3" max="3" width="12" customWidth="1"/>
    <col min="4" max="4" width="30" customWidth="1"/>
  </cols>
  <sheetData>
    <row r="1" spans="1:4" ht="17.25" x14ac:dyDescent="0.25">
      <c r="A1" s="86" t="s">
        <v>96</v>
      </c>
      <c r="B1" s="86"/>
      <c r="C1" s="86"/>
      <c r="D1" s="86"/>
    </row>
    <row r="2" spans="1:4" x14ac:dyDescent="0.25">
      <c r="A2" s="18" t="s">
        <v>97</v>
      </c>
      <c r="B2" s="18" t="s">
        <v>98</v>
      </c>
      <c r="C2" s="18" t="s">
        <v>99</v>
      </c>
      <c r="D2" s="18" t="s">
        <v>100</v>
      </c>
    </row>
    <row r="3" spans="1:4" x14ac:dyDescent="0.25">
      <c r="A3" s="50">
        <v>1</v>
      </c>
      <c r="B3" s="51">
        <v>100</v>
      </c>
      <c r="C3" s="52" t="s">
        <v>101</v>
      </c>
      <c r="D3" s="52" t="s">
        <v>61</v>
      </c>
    </row>
    <row r="4" spans="1:4" x14ac:dyDescent="0.25">
      <c r="A4" s="53">
        <v>2</v>
      </c>
      <c r="B4" s="54">
        <v>80</v>
      </c>
      <c r="C4" s="52" t="s">
        <v>102</v>
      </c>
      <c r="D4" s="52" t="s">
        <v>103</v>
      </c>
    </row>
    <row r="5" spans="1:4" x14ac:dyDescent="0.25">
      <c r="A5" s="55">
        <v>3</v>
      </c>
      <c r="B5" s="56">
        <v>60</v>
      </c>
      <c r="C5" s="52" t="s">
        <v>104</v>
      </c>
      <c r="D5" s="52" t="s">
        <v>105</v>
      </c>
    </row>
    <row r="6" spans="1:4" x14ac:dyDescent="0.25">
      <c r="A6" s="57">
        <v>4</v>
      </c>
      <c r="B6" s="58">
        <v>40</v>
      </c>
      <c r="C6" s="52" t="s">
        <v>106</v>
      </c>
      <c r="D6" s="52" t="s">
        <v>107</v>
      </c>
    </row>
    <row r="7" spans="1:4" x14ac:dyDescent="0.25">
      <c r="A7" s="59">
        <v>5</v>
      </c>
      <c r="B7" s="60">
        <v>25</v>
      </c>
      <c r="C7" s="52" t="s">
        <v>108</v>
      </c>
      <c r="D7" s="52" t="s">
        <v>109</v>
      </c>
    </row>
    <row r="8" spans="1:4" x14ac:dyDescent="0.25">
      <c r="A8" s="61">
        <v>6</v>
      </c>
      <c r="B8" s="62">
        <v>15</v>
      </c>
      <c r="C8" s="52" t="s">
        <v>110</v>
      </c>
      <c r="D8" s="52" t="s">
        <v>111</v>
      </c>
    </row>
    <row r="9" spans="1:4" x14ac:dyDescent="0.25">
      <c r="A9" s="63">
        <v>7</v>
      </c>
      <c r="B9" s="64">
        <v>8</v>
      </c>
      <c r="C9" s="52" t="s">
        <v>112</v>
      </c>
      <c r="D9" s="52" t="s">
        <v>113</v>
      </c>
    </row>
    <row r="10" spans="1:4" x14ac:dyDescent="0.25">
      <c r="A10" s="65">
        <v>8</v>
      </c>
      <c r="B10" s="66">
        <v>3</v>
      </c>
      <c r="C10" s="52" t="s">
        <v>114</v>
      </c>
      <c r="D10" s="52" t="s">
        <v>115</v>
      </c>
    </row>
    <row r="11" spans="1:4" x14ac:dyDescent="0.25">
      <c r="A11" s="67">
        <v>9</v>
      </c>
      <c r="B11" s="68">
        <v>0</v>
      </c>
      <c r="C11" s="52" t="s">
        <v>116</v>
      </c>
      <c r="D11" s="52" t="s">
        <v>117</v>
      </c>
    </row>
    <row r="13" spans="1:4" ht="15.75" x14ac:dyDescent="0.25">
      <c r="A13" s="87" t="s">
        <v>118</v>
      </c>
      <c r="B13" s="87"/>
      <c r="C13" s="87"/>
      <c r="D13" s="87"/>
    </row>
    <row r="14" spans="1:4" x14ac:dyDescent="0.25">
      <c r="A14" s="69" t="s">
        <v>119</v>
      </c>
      <c r="B14" s="70">
        <v>0.4</v>
      </c>
      <c r="C14" s="88" t="s">
        <v>120</v>
      </c>
      <c r="D14" s="88"/>
    </row>
    <row r="15" spans="1:4" x14ac:dyDescent="0.25">
      <c r="A15" s="69" t="s">
        <v>121</v>
      </c>
      <c r="B15" s="70">
        <v>0.35</v>
      </c>
      <c r="C15" s="88" t="s">
        <v>122</v>
      </c>
      <c r="D15" s="88"/>
    </row>
    <row r="16" spans="1:4" x14ac:dyDescent="0.25">
      <c r="A16" s="69" t="s">
        <v>123</v>
      </c>
      <c r="B16" s="70">
        <v>0.25</v>
      </c>
      <c r="C16" s="88" t="s">
        <v>124</v>
      </c>
      <c r="D16" s="88"/>
    </row>
  </sheetData>
  <mergeCells count="5">
    <mergeCell ref="A1:D1"/>
    <mergeCell ref="A13:D13"/>
    <mergeCell ref="C14:D14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Historial Crediticio</vt:lpstr>
      <vt:lpstr>Análisis General</vt:lpstr>
      <vt:lpstr>PARAMETROS</vt:lpstr>
      <vt:lpstr>CreditosT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Raul Cortes</cp:lastModifiedBy>
  <cp:revision>1</cp:revision>
  <dcterms:created xsi:type="dcterms:W3CDTF">2026-03-29T03:28:21Z</dcterms:created>
  <dcterms:modified xsi:type="dcterms:W3CDTF">2026-03-29T23:06:54Z</dcterms:modified>
  <dc:language>en-US</dc:language>
</cp:coreProperties>
</file>